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IndrekKeskküla\AppData\Local\Temp\Releases\Snapshot\1\Assembly Master\BOM\"/>
    </mc:Choice>
  </mc:AlternateContent>
  <xr:revisionPtr revIDLastSave="0" documentId="8_{CEE2D282-182E-4BB1-B0BE-5DBCCF6073B5}" xr6:coauthVersionLast="47" xr6:coauthVersionMax="47" xr10:uidLastSave="{00000000-0000-0000-0000-000000000000}"/>
  <bookViews>
    <workbookView xWindow="-28920" yWindow="-1950" windowWidth="29040" windowHeight="17640" xr2:uid="{00000000-000D-0000-FFFF-FFFF00000000}"/>
  </bookViews>
  <sheets>
    <sheet name="BOM Report" sheetId="1" r:id="rId1"/>
  </sheets>
  <definedNames>
    <definedName name="_xlnm.Print_Titles" localSheetId="0">'BOM Report'!$17:$17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6" i="1" l="1"/>
  <c r="B96" i="1"/>
  <c r="B14" i="1" l="1"/>
  <c r="C10" i="1" l="1"/>
  <c r="B10" i="1"/>
</calcChain>
</file>

<file path=xl/sharedStrings.xml><?xml version="1.0" encoding="utf-8"?>
<sst xmlns="http://schemas.openxmlformats.org/spreadsheetml/2006/main" count="416" uniqueCount="343">
  <si>
    <t>Approved</t>
  </si>
  <si>
    <t>Notes</t>
  </si>
  <si>
    <t>Creation Date:</t>
  </si>
  <si>
    <t>Print Date:</t>
  </si>
  <si>
    <t xml:space="preserve"> </t>
  </si>
  <si>
    <t>Source Data From:</t>
  </si>
  <si>
    <t>Variant:</t>
  </si>
  <si>
    <t>Project:</t>
  </si>
  <si>
    <t>Bill of Materials</t>
  </si>
  <si>
    <t>Production Quantity:</t>
  </si>
  <si>
    <t>Currency</t>
  </si>
  <si>
    <t>Project EE:</t>
  </si>
  <si>
    <t>Unique component count</t>
  </si>
  <si>
    <t>Total component count</t>
  </si>
  <si>
    <t>BOM cost per unit</t>
  </si>
  <si>
    <t>KR-Df-01-EL-00</t>
  </si>
  <si>
    <t>KR-Df-01-EL-00.BomDoc</t>
  </si>
  <si>
    <t>Fuse Board</t>
  </si>
  <si>
    <t>Master</t>
  </si>
  <si>
    <t>IK</t>
  </si>
  <si>
    <t>20/12/2024</t>
  </si>
  <si>
    <t>15:21</t>
  </si>
  <si>
    <t>10</t>
  </si>
  <si>
    <t>EUR</t>
  </si>
  <si>
    <t>Part number</t>
  </si>
  <si>
    <t>SN65HVD12DR</t>
  </si>
  <si>
    <t>MIC5504-3.3YM5</t>
  </si>
  <si>
    <t>TMUX1208PWR</t>
  </si>
  <si>
    <t>CRCW060310R0JNEAHP</t>
  </si>
  <si>
    <t>ECS-250-10-37B-CTN-TR</t>
  </si>
  <si>
    <t>STM32H573VIT6</t>
  </si>
  <si>
    <t>CDSOT23-SM712</t>
  </si>
  <si>
    <t>LM46002AQPWPRQ1</t>
  </si>
  <si>
    <t>L717TSEH09POL2RM8</t>
  </si>
  <si>
    <t>RJHSE-5384</t>
  </si>
  <si>
    <t>GND_BUSBAR_1</t>
  </si>
  <si>
    <t>PWR_BUSBAR_1</t>
  </si>
  <si>
    <t>BAT6404WH6327XTSA1</t>
  </si>
  <si>
    <t>MBR0530</t>
  </si>
  <si>
    <t>SS24FL</t>
  </si>
  <si>
    <t>SMF48A</t>
  </si>
  <si>
    <t>D5V0P4UR6SO-7</t>
  </si>
  <si>
    <t>BLM18RK601SN1D</t>
  </si>
  <si>
    <t>-</t>
  </si>
  <si>
    <t>MCCQ-122</t>
  </si>
  <si>
    <t>MCS1802GS-20-Z</t>
  </si>
  <si>
    <t>SRP0420-6R8K</t>
  </si>
  <si>
    <t>2616-1352</t>
  </si>
  <si>
    <t>VLPR-24-1028-2</t>
  </si>
  <si>
    <t>MLCC, 0402, 8.2p, 5%, 50V, C0G/NP0</t>
  </si>
  <si>
    <t>MLCC, 0402, 10n, 10%, 50V, X5R</t>
  </si>
  <si>
    <t>MLCC, 0402, 47p, 10%, 50V, X7R</t>
  </si>
  <si>
    <t>MLCC, 0402, 100n, 10%, 10V, X5R</t>
  </si>
  <si>
    <t>MLCC, 0402, 100n, 10%, 50V, X7R</t>
  </si>
  <si>
    <t>MLCC, 0402, 470n, 10%, 50V, X5R</t>
  </si>
  <si>
    <t>MLCC, 0402, 470p, 5%, 50V, C0G/NP0</t>
  </si>
  <si>
    <t>MLCC, 0603, 1u, 10%, 10V, X7R</t>
  </si>
  <si>
    <t>MLCC, 0603, 2.2u, 10%, 16V, X5R</t>
  </si>
  <si>
    <t>MLCC, 0603, 10u, 10%, 25V, X5R</t>
  </si>
  <si>
    <t>C2012X5R1V226M125AC</t>
  </si>
  <si>
    <t>MLCC, 0805, 33n, 10%, 50V, X7R</t>
  </si>
  <si>
    <t>MLCC, 1206, 1n, 10%, 2kV, X7R</t>
  </si>
  <si>
    <t>MLCC, 1206, 47u, 10%, 10V, X5R</t>
  </si>
  <si>
    <t>MLCC, 1210, 4.7u, 10%, 100V, X7S</t>
  </si>
  <si>
    <t>MM3Z8V2ST1G</t>
  </si>
  <si>
    <t>BSS123</t>
  </si>
  <si>
    <t>DMG2305UX-13</t>
  </si>
  <si>
    <t>SQ2361CEES-T1_GE3</t>
  </si>
  <si>
    <t>J107F1CS205VDC.45</t>
  </si>
  <si>
    <t>TLRZ2BTTD</t>
  </si>
  <si>
    <t>Resistor, 0402, 1k, 1%, 1/16W</t>
  </si>
  <si>
    <t>Resistor, 0402, 1.5k, 1%, 1/16W</t>
  </si>
  <si>
    <t>Resistor, 0402, 10R, 1%, 1/16W</t>
  </si>
  <si>
    <t>Resistor, 0402, 12.1k, 1%, 1/16W</t>
  </si>
  <si>
    <t>Any</t>
  </si>
  <si>
    <t>Resistor, 0402, 39.2k, 1%, 1/10W</t>
  </si>
  <si>
    <t>Resistor, 0402, 49.9R, 1%, 1/16W</t>
  </si>
  <si>
    <t>Resistor, 0402, 270R, 1%, 1/16W</t>
  </si>
  <si>
    <t>Resistor, 0402, 499R, 1%, 1/16W</t>
  </si>
  <si>
    <t>Resistor, 0603, 10k, 1%, 1/10W</t>
  </si>
  <si>
    <t>Resistor, 0603, 44.2k, 0.1%, 1/10W</t>
  </si>
  <si>
    <t>Resistor, 0603, 75R, 1%, 1/10W</t>
  </si>
  <si>
    <t>Resistor, 0603, 100R, 1%, 1/10W</t>
  </si>
  <si>
    <t>Resistor, 0603, 200k, 1%, 1/10W</t>
  </si>
  <si>
    <t>Resistor, 0805, 120R, 1%, 1/10W</t>
  </si>
  <si>
    <t>IN-PI22TAT5R5G5B</t>
  </si>
  <si>
    <t>SMAJ33A</t>
  </si>
  <si>
    <t>LAN8742AI-CZ-TR</t>
  </si>
  <si>
    <t>RCWE080550L0FNEA</t>
  </si>
  <si>
    <t>SNT-100-BK-T-H</t>
  </si>
  <si>
    <t>DGPS2.5R-5.0-02P</t>
  </si>
  <si>
    <t>219-8MST</t>
  </si>
  <si>
    <t>1-1825027-1</t>
  </si>
  <si>
    <t>AP61102Z6-7</t>
  </si>
  <si>
    <t>HX1260NL</t>
  </si>
  <si>
    <t>ESD9X3.3ST5G</t>
  </si>
  <si>
    <t>Quantity</t>
  </si>
  <si>
    <t>Description</t>
  </si>
  <si>
    <t>1/1 Transceiver Half RS422, RS485 8-SOIC</t>
  </si>
  <si>
    <t>1µH Shielded Wirewound Inductor 2.2A 55mOhm Max Nonstandard</t>
  </si>
  <si>
    <t>3.3V 300mA LDO</t>
  </si>
  <si>
    <t>5-V, 8: 1, 1-channel general-purpose analog multiplexer with 1.8-V input logic 16-TSSOP -40 to 125</t>
  </si>
  <si>
    <t>10R 0603 Pulse-proof 1/3W</t>
  </si>
  <si>
    <t>25MHz ±10ppm Crystal 10pF 50 Ohms 4-SMD, No Lead</t>
  </si>
  <si>
    <t>Armï¿½ Cortexï¿½-M33 32-bit MCU+TrusZoneï¿½ + FPU, 360 DMIPS @240MHz, 2 Mbytes Flash, 640 Kbytes RAM, Math accelerators</t>
  </si>
  <si>
    <t>BOURNS - CDSOT23-SM712 - Transient Voltage Suppressor, TVS, CDSOT23 Series, Unidirectional, 12 V, SOT-23, 3, 13.3 V</t>
  </si>
  <si>
    <t>Buck Switching Regulator IC Positive Adjustable 1V 1 Output 2A 16-TSSOP (0.173", 4.40mm Width) Exposed Pad</t>
  </si>
  <si>
    <t>Conn D-Subminiature PIN 9 POS 1.37mm Solder ST Thru-Hole 9 Terminal 1 Port</t>
  </si>
  <si>
    <t>CONN MOD JACK 8P8C R/A SHIELDED, LEFT GREEN, RIGHT YELLOW</t>
  </si>
  <si>
    <t>Custom GND busbar for DefSecIntel fuse board</t>
  </si>
  <si>
    <t>Custom PWR busbar for DefSecIntel fuse board.</t>
  </si>
  <si>
    <t>Diode Array 1 Pair Series Connection Schottky 40V 120mA Surface Mount SC-70, SOT-323</t>
  </si>
  <si>
    <t>Diode Schottky 30V 500mA Surface Mount SOD-123</t>
  </si>
  <si>
    <t>Diode Schottky 40V 2A Surface Mount SOD-123F</t>
  </si>
  <si>
    <t>Diode TVS Single Uni-Dir 48V 200W 2-Pin SOD-123F T/R</t>
  </si>
  <si>
    <t>DIODES INC. - D5V0P4UR6SO-7 - ESD Protection Device, 1.2 V, SOT-26, 6 Pins, 3.6 V, 300 mW</t>
  </si>
  <si>
    <t>Ferrite Beads Multi-Layer 600Ohm 25% 100MHz 200mA 600mOhm DCR 0603 T/R</t>
  </si>
  <si>
    <t>Fiducial, round, 1mm diam</t>
  </si>
  <si>
    <t>Fuseholder, Pcb Mount, Mini Blade</t>
  </si>
  <si>
    <t>Hall Effect-Based Linear Current Sensor IC ±20A 66mV/A 100kHz 8-Pin SOIC T/R</t>
  </si>
  <si>
    <t>Headers &amp; Wire Housings WR-PHD 2.54mm 2Pin THT Header</t>
  </si>
  <si>
    <t>Inductor Power Shielded Wirewound 6.8uH 10% 100KHz 27Q-Factor Metal Alloy Powder 2.6A 0.117Ohm DCR T/R</t>
  </si>
  <si>
    <t>Lever actuated terminal block, Wire-to-board. 78A, 300V, 4-18 AWG</t>
  </si>
  <si>
    <t>Light Pipe, Rigid, Vertical, Board Mount, Smd Led, 1.028 In., 4 Mm X 2 Mm Rectangular Face</t>
  </si>
  <si>
    <t>MLCC, 0805, 22u, 20%, 35V, X5R</t>
  </si>
  <si>
    <t>MM3Z8V2ST1 Series 200 mW 10 mA 8.2 V SMT Zener Voltage Regulator - SOD-323</t>
  </si>
  <si>
    <t>MOSFET N-CH 100V 170MA SOT-23</t>
  </si>
  <si>
    <t>P-Channel 20V 4.2A (Ta) 1.4W (Ta) Surface Mount SOT-23</t>
  </si>
  <si>
    <t>P-Channel 60V 2,8A SOT-23-3</t>
  </si>
  <si>
    <t>RELAY GEN PURPOSE SPDT 20A 5V</t>
  </si>
  <si>
    <t>Res Metal Plate 1206 0 Ohm Sulfur Resistant Pad SMD Automotive T/R</t>
  </si>
  <si>
    <t>Resistor, 0402, 24.9k, 1%, 1/10W</t>
  </si>
  <si>
    <t>Resistor, 0603, 1k, 0.1%, 1/16W</t>
  </si>
  <si>
    <t>Resistor, 1206, 1M, 1%, 1/4W</t>
  </si>
  <si>
    <t>RGB LED, Discrete, Serial PWM(1Wire)</t>
  </si>
  <si>
    <t>SMAJ Series 53.3 V 0.4 kW Surface Mount Uni-Directional TVS Diode - DO-214AC</t>
  </si>
  <si>
    <t>Small Footprint RMII 10/100 Ethernet Transceiver with flexPWR Technology</t>
  </si>
  <si>
    <t>SMD Chip Resistor, 50 MOhm, ± 1%, 250 mW, 0805 [2012 Metric], Thick Film, Anti-Sulfur</t>
  </si>
  <si>
    <t>SNT - Samtec 2.54mm Jumper Link / Shunt</t>
  </si>
  <si>
    <t>Spring loaded terminal block</t>
  </si>
  <si>
    <t>Standoffs &amp; Spacers SM Standoff Steel 650 pcs per reel</t>
  </si>
  <si>
    <t>Switch DIP ON OFF SPST 8 Raised Slide 0.1A 20VDC Gull Wing 2000Cycles 2.54mm SMD Tube</t>
  </si>
  <si>
    <t>Switch Push Button OFF (ON) SPST Round Button 0.05A 24VDC Momentary Contact PC Pins Thru-Hole</t>
  </si>
  <si>
    <t>Switch Tactile Spst-no 0.05A 12V</t>
  </si>
  <si>
    <t>Switching Voltage Regulators DCDC Conv LV Buck SOT563 T&amp;R 3K</t>
  </si>
  <si>
    <t>Telecom Transformer 1: 1 0.65Ohm Prim. DCR 0.65Ohm Sec. DCR 16 Terminal Gull Wing SMD</t>
  </si>
  <si>
    <t>TVS DIODE 3.3V SOD923</t>
  </si>
  <si>
    <t>Designator</t>
  </si>
  <si>
    <t>U300</t>
  </si>
  <si>
    <t>L400</t>
  </si>
  <si>
    <t>U410</t>
  </si>
  <si>
    <t>U501, U502</t>
  </si>
  <si>
    <t>R301, R304</t>
  </si>
  <si>
    <t>Xtal200, Xtal500</t>
  </si>
  <si>
    <t>U500</t>
  </si>
  <si>
    <t>D300</t>
  </si>
  <si>
    <t>U409</t>
  </si>
  <si>
    <t>J300, J301</t>
  </si>
  <si>
    <t>P200</t>
  </si>
  <si>
    <t>BB401</t>
  </si>
  <si>
    <t>BB400</t>
  </si>
  <si>
    <t>D111, D112, D113, D117, D118, D119, D122, D123, D400</t>
  </si>
  <si>
    <t>D610</t>
  </si>
  <si>
    <t>D108, D109, D110, D114, D115, D116, D120, D121</t>
  </si>
  <si>
    <t>D100, D101, D102, D103, D104, D105, D106, D107</t>
  </si>
  <si>
    <t>D200</t>
  </si>
  <si>
    <t>FB200</t>
  </si>
  <si>
    <t>Fid100, Fid101, Fid102, Fid103, Fid104, Fid105</t>
  </si>
  <si>
    <t>F100, F101, F102, F103, F104, F105, F106, F107</t>
  </si>
  <si>
    <t>U400, U401, U402, U403, U404, U405, U406, U407</t>
  </si>
  <si>
    <t>P300</t>
  </si>
  <si>
    <t>L401</t>
  </si>
  <si>
    <t>J400</t>
  </si>
  <si>
    <t>ME600, ME601, ME602, ME603, ME604, ME605, ME606, ME607, ME608, ME609</t>
  </si>
  <si>
    <t>C207, C208, C506, C507</t>
  </si>
  <si>
    <t>C403, C405, C407, C413, C415, C417, C419, C422</t>
  </si>
  <si>
    <t>C435</t>
  </si>
  <si>
    <t>C103, C104, C105, C109, C110, C111, C114, C115, C116, C117, C118, C119, C120, C121, C122, C123, C202, C203, C206, C209, C210, C213, C301, C404, C406, C408, C414, C416, C418, C420, C423, C424, C426, C427, C428, C439, C500, C501, C504, C505, C508, C509, C510, C511, C512, C513, C600, C601, C602, C603, C604, C605, C606, C607, C608, C609, C610, C611, C612, C613, C614, C615, C616, C617</t>
  </si>
  <si>
    <t>C433</t>
  </si>
  <si>
    <t>C434</t>
  </si>
  <si>
    <t>C204</t>
  </si>
  <si>
    <t>C205, C400, C401, C402, C409, C410, C411, C412, C421, C438, C440, C441</t>
  </si>
  <si>
    <t>C437, C502, C503</t>
  </si>
  <si>
    <t>C200, C201, C425, C429</t>
  </si>
  <si>
    <t>C124, C125, C126, C127, C128, C129, C130, C131, C132, C133, C134, C135, C136, C137, C138, C139, C140, C141, C142, C143, C144, C145, C146, C147</t>
  </si>
  <si>
    <t>C100, C101, C102, C106, C107, C108, C112, C113, C300, C302</t>
  </si>
  <si>
    <t>C211, C212</t>
  </si>
  <si>
    <t>C436</t>
  </si>
  <si>
    <t>C430, C431, C432</t>
  </si>
  <si>
    <t>D402</t>
  </si>
  <si>
    <t>Q100, Q101, Q102, Q103, Q104, Q105, Q106, Q107, Q601, Q602</t>
  </si>
  <si>
    <t>Q600</t>
  </si>
  <si>
    <t>Q400</t>
  </si>
  <si>
    <t>K100, K101, K102, K103, K104, K105, K106, K107</t>
  </si>
  <si>
    <t>R101, R103, R105, R113, R115, R117, R125, R127, R410, R513</t>
  </si>
  <si>
    <t>R405</t>
  </si>
  <si>
    <t>R201</t>
  </si>
  <si>
    <t>R202, R203, R204, R205, R206, R207, R209</t>
  </si>
  <si>
    <t>R208, R215, R221, R222, R223, R224</t>
  </si>
  <si>
    <t>R408</t>
  </si>
  <si>
    <t>R409</t>
  </si>
  <si>
    <t>R210, R211, R212, R213</t>
  </si>
  <si>
    <t>R216, R218</t>
  </si>
  <si>
    <t>R214</t>
  </si>
  <si>
    <t>R135, R136, R137, R141, R142, R143, R146, R147, R401, R508, R600, R601, R602, R603, R604, R605, R606, R607, R612</t>
  </si>
  <si>
    <t>R108, R110, R111, R120, R121, R123, R129, R131, R132, R133, R134, R138, R139, R140, R144, R145, R200, R217, R300, R302, R305, R306, R400, R402, R412, R415, R509, R514, R518, R519, R520, R521, R608, R610, R611</t>
  </si>
  <si>
    <t>R404</t>
  </si>
  <si>
    <t>R219, R220</t>
  </si>
  <si>
    <t>R106, R107, R109, R118, R119, R122, R128, R130, R500, R501, R502, R503, R504, R505, R506, R507, R510, R511, R512, R609</t>
  </si>
  <si>
    <t>R403, R406, R407</t>
  </si>
  <si>
    <t>R303</t>
  </si>
  <si>
    <t>R225</t>
  </si>
  <si>
    <t>D600, D601, D602, D603, D604, D605, D606, D607, D608, D609</t>
  </si>
  <si>
    <t>D401</t>
  </si>
  <si>
    <t>U200</t>
  </si>
  <si>
    <t>R148, R149, R150, R151, R152, R153, R154, R155</t>
  </si>
  <si>
    <t>ME300</t>
  </si>
  <si>
    <t>P100, P101, P102, P103, P104, P105, P106, P107</t>
  </si>
  <si>
    <t>MH400, MH401, MH402, MH403, MH404, MH405, MH406</t>
  </si>
  <si>
    <t>SW500</t>
  </si>
  <si>
    <t>S600, S601, S602, S603, S604, S605, S606, S607</t>
  </si>
  <si>
    <t>SW501</t>
  </si>
  <si>
    <t>U408</t>
  </si>
  <si>
    <t>T200</t>
  </si>
  <si>
    <t>D500, D501, D502</t>
  </si>
  <si>
    <t>LibRef</t>
  </si>
  <si>
    <t>CMP-ROOT-01068-1</t>
  </si>
  <si>
    <t>CMP-ROOT-00305-1</t>
  </si>
  <si>
    <t>CMP-ROOT-00999-4</t>
  </si>
  <si>
    <t>CMP-ROOT-01067-2</t>
  </si>
  <si>
    <t>CMP-0001-00279-2</t>
  </si>
  <si>
    <t>CMP-001-1313-1</t>
  </si>
  <si>
    <t>CMP-ROOT-01065-3</t>
  </si>
  <si>
    <t>CMP-ROOT-00649-3</t>
  </si>
  <si>
    <t>CMP-ROOT-00198-2</t>
  </si>
  <si>
    <t>CMP-ROOT-01058-3</t>
  </si>
  <si>
    <t>CMP-001-1345-1</t>
  </si>
  <si>
    <t>CMP-ROOT-01092-5</t>
  </si>
  <si>
    <t>CMP-ROOT-01072-9</t>
  </si>
  <si>
    <t>CMP-ROOT-00071-1</t>
  </si>
  <si>
    <t>CMP-ROOT-00224-1</t>
  </si>
  <si>
    <t>CMP-ROOT-00473-1</t>
  </si>
  <si>
    <t>CMP-ROOT-01053-2</t>
  </si>
  <si>
    <t>CMP-ROOT-00693-1</t>
  </si>
  <si>
    <t>CMP-ROOT-01073-2</t>
  </si>
  <si>
    <t>CMP-001-1226-1</t>
  </si>
  <si>
    <t>CMP-ROOT-01049-2</t>
  </si>
  <si>
    <t>CMP-ROOT-01063-2</t>
  </si>
  <si>
    <t>CMP-001-1357-2</t>
  </si>
  <si>
    <t>CMP-ROOT-01075-2</t>
  </si>
  <si>
    <t>CMP-ROOT-01061-1</t>
  </si>
  <si>
    <t>CMP-ROOT-01098-2</t>
  </si>
  <si>
    <t>CMP-0001-00091-2</t>
  </si>
  <si>
    <t>CMP-0001-00209-2</t>
  </si>
  <si>
    <t>CMP-0001-00149-2</t>
  </si>
  <si>
    <t>CMP-001-1256-2</t>
  </si>
  <si>
    <t>CMP-0001-00196-2</t>
  </si>
  <si>
    <t>CMP-0001-00217-2</t>
  </si>
  <si>
    <t>CMP-0001-00137-2</t>
  </si>
  <si>
    <t>CMP-001-0642-2</t>
  </si>
  <si>
    <t>CMP-001-1459-1</t>
  </si>
  <si>
    <t>CMP-001-1355-1</t>
  </si>
  <si>
    <t>CMP-001-1665-1</t>
  </si>
  <si>
    <t>CMP-001-1076-2</t>
  </si>
  <si>
    <t>CMP-001-1275-2</t>
  </si>
  <si>
    <t>CMP-001-1106-2</t>
  </si>
  <si>
    <t>CMP-001-1296-1</t>
  </si>
  <si>
    <t>CMP-ROOT-00931-1</t>
  </si>
  <si>
    <t>CMP-ROOT-00113-5</t>
  </si>
  <si>
    <t>CMP-ROOT-00017-1</t>
  </si>
  <si>
    <t>CMP-ROOT-01117-1</t>
  </si>
  <si>
    <t>CMP-ROOT-01122-1</t>
  </si>
  <si>
    <t>CMP-0001-00276-2</t>
  </si>
  <si>
    <t>CMP-001-0340-2</t>
  </si>
  <si>
    <t>CMP-001-0344-2</t>
  </si>
  <si>
    <t>CMP-001-0292-2</t>
  </si>
  <si>
    <t>CMP-001-1424-1</t>
  </si>
  <si>
    <t>CMP-0001-00027-1</t>
  </si>
  <si>
    <t>CMP-0001-00015-2</t>
  </si>
  <si>
    <t>CMP-001-1276-1</t>
  </si>
  <si>
    <t>CMP-001-0326-2</t>
  </si>
  <si>
    <t>CMP-001-1365-1</t>
  </si>
  <si>
    <t>CMP-0001-00237-1</t>
  </si>
  <si>
    <t>CMP-001-0101-2</t>
  </si>
  <si>
    <t>CMP-001-1616-1</t>
  </si>
  <si>
    <t>CMP-001-0051-3</t>
  </si>
  <si>
    <t>CMP-001-0053-3</t>
  </si>
  <si>
    <t>CMP-001-0132-2</t>
  </si>
  <si>
    <t>CMP-001-1673-1</t>
  </si>
  <si>
    <t>CMP-0001-00051-1</t>
  </si>
  <si>
    <t>CMP-001-1686-5</t>
  </si>
  <si>
    <t>CMP-ROOT-01076-1</t>
  </si>
  <si>
    <t>CMP-ROOT-00367-2</t>
  </si>
  <si>
    <t>CMP-0001-00285-1</t>
  </si>
  <si>
    <t>CMP-ROOT-01069-1</t>
  </si>
  <si>
    <t>CMP-ROOT-01059-1</t>
  </si>
  <si>
    <t>CMP-ROOT-01125-5</t>
  </si>
  <si>
    <t>CMP-ROOT-01070-1</t>
  </si>
  <si>
    <t>CMP-ROOT-01057-1</t>
  </si>
  <si>
    <t>CMP-ROOT-00883-1</t>
  </si>
  <si>
    <t>CMP-ROOT-00784-1</t>
  </si>
  <si>
    <t>CMP-ROOT-01078-2</t>
  </si>
  <si>
    <t>CMP-001-1298-2</t>
  </si>
  <si>
    <t>Manufacturer</t>
  </si>
  <si>
    <t>TI</t>
  </si>
  <si>
    <t>Wurth Electronics Inc.</t>
  </si>
  <si>
    <t>Microchip Technology</t>
  </si>
  <si>
    <t>Vishay</t>
  </si>
  <si>
    <t>ECS Inc.</t>
  </si>
  <si>
    <t>STMicroelectronics</t>
  </si>
  <si>
    <t>Bourns Inc.</t>
  </si>
  <si>
    <t>Texas Instruments</t>
  </si>
  <si>
    <t>Amphenol ICC</t>
  </si>
  <si>
    <t>Krakul</t>
  </si>
  <si>
    <t>Infineon</t>
  </si>
  <si>
    <t>ON Semiconductor</t>
  </si>
  <si>
    <t>Littelfuse</t>
  </si>
  <si>
    <t>Diodes Inc</t>
  </si>
  <si>
    <t>Murata</t>
  </si>
  <si>
    <t>Multicomp</t>
  </si>
  <si>
    <t>MPS</t>
  </si>
  <si>
    <t>Wurth</t>
  </si>
  <si>
    <t>Bourns</t>
  </si>
  <si>
    <t>WAGO</t>
  </si>
  <si>
    <t>Bivar</t>
  </si>
  <si>
    <t>TDK</t>
  </si>
  <si>
    <t>onsemi</t>
  </si>
  <si>
    <t>Diodes Incorporated</t>
  </si>
  <si>
    <t>CIT Relay and Switch</t>
  </si>
  <si>
    <t>KOA Speer Electronics</t>
  </si>
  <si>
    <t>Inolux</t>
  </si>
  <si>
    <t>Samtec</t>
  </si>
  <si>
    <t>Degson</t>
  </si>
  <si>
    <t>Keystone Electronics</t>
  </si>
  <si>
    <t>CTS Electronic Components</t>
  </si>
  <si>
    <t>TE</t>
  </si>
  <si>
    <t>Würth Elektronik</t>
  </si>
  <si>
    <t>Pulse</t>
  </si>
  <si>
    <t>Supplier 1</t>
  </si>
  <si>
    <t>Supplier Part Number 1</t>
  </si>
  <si>
    <t>Supplier Order Qty 1</t>
  </si>
  <si>
    <t>Supplier Unit Price 1</t>
  </si>
  <si>
    <t>Supplier Subtotal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</si>
</sst>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yyyy\-mm\-dd;@"/>
  </numFmts>
  <fonts count="12" x14ac:knownFonts="1">
    <font>
      <sz val="10"/>
      <name val="Arial"/>
    </font>
    <font>
      <sz val="10"/>
      <name val="Arial"/>
      <family val="2"/>
      <charset val="186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  <charset val="186"/>
    </font>
    <font>
      <sz val="10"/>
      <name val="Arial"/>
      <family val="2"/>
    </font>
    <font>
      <b/>
      <sz val="10"/>
      <name val="Arial"/>
      <family val="2"/>
      <charset val="186"/>
    </font>
    <font>
      <i/>
      <sz val="10"/>
      <name val="Arial"/>
      <family val="2"/>
      <charset val="186"/>
    </font>
    <font>
      <b/>
      <sz val="24"/>
      <name val="Arial"/>
      <family val="2"/>
    </font>
    <font>
      <b/>
      <sz val="9"/>
      <name val="Arial"/>
      <family val="2"/>
      <charset val="186"/>
    </font>
    <font>
      <b/>
      <sz val="10"/>
      <name val="Arial"/>
      <family val="2"/>
      <charset val="186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/>
      <bottom style="medium">
        <color indexed="62"/>
      </bottom>
      <diagonal/>
    </border>
    <border>
      <left/>
      <right style="thin">
        <color indexed="64"/>
      </right>
      <top/>
      <bottom style="medium">
        <color indexed="62"/>
      </bottom>
      <diagonal/>
    </border>
    <border>
      <left style="medium">
        <color indexed="62"/>
      </left>
      <right/>
      <top/>
      <bottom style="medium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2"/>
      </top>
      <bottom/>
      <diagonal/>
    </border>
    <border>
      <left/>
      <right/>
      <top style="medium">
        <color indexed="62"/>
      </top>
      <bottom/>
      <diagonal/>
    </border>
    <border>
      <left/>
      <right style="thin">
        <color indexed="64"/>
      </right>
      <top style="medium">
        <color indexed="62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2" fillId="0" borderId="1" xfId="0" applyFont="1" applyBorder="1"/>
    <xf numFmtId="0" fontId="4" fillId="0" borderId="1" xfId="0" applyFont="1" applyBorder="1"/>
    <xf numFmtId="0" fontId="5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5" xfId="0" applyFont="1" applyBorder="1" applyAlignment="1">
      <alignment horizontal="left" vertical="top" wrapText="1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vertical="top"/>
      <protection locked="0"/>
    </xf>
    <xf numFmtId="0" fontId="6" fillId="0" borderId="1" xfId="0" applyFont="1" applyBorder="1" applyAlignment="1" applyProtection="1">
      <alignment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" fillId="0" borderId="11" xfId="0" applyFont="1" applyBorder="1" applyAlignment="1" applyProtection="1">
      <alignment horizontal="left" vertical="top"/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12" xfId="0" applyFont="1" applyBorder="1" applyAlignment="1" applyProtection="1">
      <alignment horizontal="left" vertical="top"/>
      <protection locked="0"/>
    </xf>
    <xf numFmtId="0" fontId="1" fillId="0" borderId="13" xfId="0" applyFont="1" applyBorder="1" applyAlignment="1" applyProtection="1">
      <alignment horizontal="left" vertical="top"/>
      <protection locked="0"/>
    </xf>
    <xf numFmtId="0" fontId="1" fillId="0" borderId="13" xfId="0" applyFont="1" applyBorder="1" applyAlignment="1" applyProtection="1">
      <alignment vertical="top"/>
      <protection locked="0"/>
    </xf>
    <xf numFmtId="0" fontId="2" fillId="0" borderId="8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0" fillId="0" borderId="4" xfId="0" applyBorder="1"/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1" fillId="0" borderId="14" xfId="0" applyFont="1" applyBorder="1" applyAlignment="1" applyProtection="1">
      <alignment vertical="top"/>
      <protection locked="0"/>
    </xf>
    <xf numFmtId="0" fontId="0" fillId="0" borderId="16" xfId="0" applyBorder="1"/>
    <xf numFmtId="0" fontId="6" fillId="0" borderId="16" xfId="0" applyFont="1" applyBorder="1" applyAlignment="1" applyProtection="1">
      <alignment vertical="top"/>
      <protection locked="0"/>
    </xf>
    <xf numFmtId="0" fontId="1" fillId="0" borderId="15" xfId="0" applyFont="1" applyBorder="1" applyAlignment="1" applyProtection="1">
      <alignment vertical="top"/>
      <protection locked="0"/>
    </xf>
    <xf numFmtId="0" fontId="1" fillId="0" borderId="16" xfId="0" applyFont="1" applyBorder="1" applyAlignment="1" applyProtection="1">
      <alignment vertical="top"/>
      <protection locked="0"/>
    </xf>
    <xf numFmtId="0" fontId="1" fillId="0" borderId="17" xfId="0" applyFont="1" applyBorder="1" applyAlignment="1" applyProtection="1">
      <alignment vertical="top"/>
      <protection locked="0"/>
    </xf>
    <xf numFmtId="0" fontId="9" fillId="0" borderId="1" xfId="0" applyFont="1" applyBorder="1"/>
    <xf numFmtId="0" fontId="10" fillId="0" borderId="1" xfId="0" applyFont="1" applyBorder="1"/>
    <xf numFmtId="164" fontId="0" fillId="0" borderId="4" xfId="0" applyNumberFormat="1" applyBorder="1" applyAlignment="1">
      <alignment horizontal="left"/>
    </xf>
    <xf numFmtId="165" fontId="0" fillId="0" borderId="4" xfId="0" applyNumberFormat="1" applyBorder="1" applyAlignment="1">
      <alignment horizontal="left"/>
    </xf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14" xfId="0" applyFill="1" applyBorder="1"/>
    <xf numFmtId="0" fontId="0" fillId="2" borderId="20" xfId="0" applyFill="1" applyBorder="1"/>
    <xf numFmtId="0" fontId="0" fillId="2" borderId="21" xfId="0" applyFill="1" applyBorder="1"/>
    <xf numFmtId="0" fontId="7" fillId="2" borderId="9" xfId="0" applyFont="1" applyFill="1" applyBorder="1" applyAlignment="1" applyProtection="1">
      <alignment vertical="top" wrapText="1"/>
      <protection locked="0"/>
    </xf>
    <xf numFmtId="0" fontId="1" fillId="2" borderId="14" xfId="0" applyFont="1" applyFill="1" applyBorder="1" applyAlignment="1" applyProtection="1">
      <alignment horizontal="left" vertical="top" wrapText="1"/>
      <protection locked="0"/>
    </xf>
    <xf numFmtId="0" fontId="7" fillId="2" borderId="14" xfId="0" applyFont="1" applyFill="1" applyBorder="1" applyAlignment="1" applyProtection="1">
      <alignment vertical="top" wrapText="1"/>
      <protection locked="0"/>
    </xf>
    <xf numFmtId="0" fontId="7" fillId="2" borderId="15" xfId="0" applyFont="1" applyFill="1" applyBorder="1" applyAlignment="1" applyProtection="1">
      <alignment vertical="top" wrapText="1"/>
      <protection locked="0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1" fillId="2" borderId="2" xfId="0" applyFont="1" applyFill="1" applyBorder="1" applyAlignment="1" applyProtection="1">
      <alignment horizontal="left" vertical="top" wrapText="1"/>
      <protection locked="0"/>
    </xf>
    <xf numFmtId="0" fontId="7" fillId="2" borderId="2" xfId="0" applyFont="1" applyFill="1" applyBorder="1" applyAlignment="1" applyProtection="1">
      <alignment vertical="top" wrapText="1"/>
      <protection locked="0"/>
    </xf>
    <xf numFmtId="0" fontId="7" fillId="2" borderId="17" xfId="0" applyFont="1" applyFill="1" applyBorder="1" applyAlignment="1" applyProtection="1">
      <alignment vertical="top" wrapText="1"/>
      <protection locked="0"/>
    </xf>
    <xf numFmtId="0" fontId="5" fillId="0" borderId="23" xfId="0" applyFont="1" applyBorder="1" applyAlignment="1">
      <alignment horizontal="left" vertical="top" wrapText="1"/>
    </xf>
    <xf numFmtId="0" fontId="5" fillId="0" borderId="23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24" xfId="0" applyFont="1" applyBorder="1" applyAlignment="1">
      <alignment vertical="top" wrapText="1"/>
    </xf>
    <xf numFmtId="0" fontId="5" fillId="0" borderId="25" xfId="0" applyFont="1" applyBorder="1" applyAlignment="1">
      <alignment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26" xfId="0" applyFont="1" applyBorder="1" applyAlignment="1">
      <alignment vertical="top" wrapText="1"/>
    </xf>
    <xf numFmtId="0" fontId="5" fillId="0" borderId="27" xfId="0" applyFont="1" applyBorder="1" applyAlignment="1">
      <alignment horizontal="left" vertical="top" wrapText="1"/>
    </xf>
    <xf numFmtId="0" fontId="5" fillId="0" borderId="27" xfId="0" applyFont="1" applyBorder="1" applyAlignment="1">
      <alignment vertical="top" wrapText="1"/>
    </xf>
    <xf numFmtId="49" fontId="0" fillId="0" borderId="0" xfId="0" applyNumberFormat="1" applyAlignment="1">
      <alignment horizontal="left"/>
    </xf>
    <xf numFmtId="14" fontId="0" fillId="0" borderId="1" xfId="0" applyNumberFormat="1" applyBorder="1" applyAlignment="1">
      <alignment vertical="top"/>
    </xf>
    <xf numFmtId="0" fontId="0" fillId="0" borderId="16" xfId="0" applyBorder="1" applyAlignment="1">
      <alignment vertical="top"/>
    </xf>
    <xf numFmtId="1" fontId="0" fillId="0" borderId="0" xfId="0" applyNumberFormat="1" applyAlignment="1">
      <alignment horizontal="left" vertical="top"/>
    </xf>
    <xf numFmtId="1" fontId="2" fillId="4" borderId="29" xfId="0" applyNumberFormat="1" applyFont="1" applyFill="1" applyBorder="1" applyAlignment="1">
      <alignment horizontal="center" vertical="top"/>
    </xf>
    <xf numFmtId="0" fontId="2" fillId="4" borderId="29" xfId="0" applyFont="1" applyFill="1" applyBorder="1" applyAlignment="1">
      <alignment horizontal="center" vertical="top"/>
    </xf>
    <xf numFmtId="0" fontId="5" fillId="0" borderId="30" xfId="0" applyFont="1" applyBorder="1" applyAlignment="1">
      <alignment vertical="top" wrapText="1"/>
    </xf>
    <xf numFmtId="1" fontId="5" fillId="0" borderId="24" xfId="0" applyNumberFormat="1" applyFont="1" applyBorder="1" applyAlignment="1">
      <alignment horizontal="left" vertical="top" wrapText="1"/>
    </xf>
    <xf numFmtId="1" fontId="5" fillId="0" borderId="5" xfId="0" applyNumberFormat="1" applyFont="1" applyBorder="1" applyAlignment="1">
      <alignment horizontal="left" vertical="top" wrapText="1"/>
    </xf>
    <xf numFmtId="1" fontId="5" fillId="0" borderId="30" xfId="0" applyNumberFormat="1" applyFont="1" applyBorder="1" applyAlignment="1">
      <alignment horizontal="left" vertical="top" wrapText="1"/>
    </xf>
    <xf numFmtId="0" fontId="5" fillId="0" borderId="4" xfId="0" applyFont="1" applyBorder="1" applyAlignment="1">
      <alignment horizontal="left"/>
    </xf>
    <xf numFmtId="0" fontId="3" fillId="3" borderId="28" xfId="0" applyFont="1" applyFill="1" applyBorder="1" applyAlignment="1">
      <alignment horizontal="center" vertical="top"/>
    </xf>
    <xf numFmtId="0" fontId="0" fillId="2" borderId="15" xfId="0" applyFill="1" applyBorder="1"/>
    <xf numFmtId="14" fontId="3" fillId="3" borderId="31" xfId="0" applyNumberFormat="1" applyFont="1" applyFill="1" applyBorder="1" applyAlignment="1">
      <alignment horizontal="center" vertical="top"/>
    </xf>
    <xf numFmtId="0" fontId="2" fillId="0" borderId="0" xfId="0" applyFont="1"/>
    <xf numFmtId="0" fontId="2" fillId="0" borderId="16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1" xfId="0" applyBorder="1" applyAlignment="1">
      <alignment vertical="top"/>
    </xf>
    <xf numFmtId="0" fontId="0" fillId="0" borderId="8" xfId="0" applyBorder="1"/>
    <xf numFmtId="0" fontId="0" fillId="0" borderId="17" xfId="0" applyBorder="1"/>
    <xf numFmtId="0" fontId="0" fillId="0" borderId="0" xfId="0" applyAlignment="1">
      <alignment horizontal="left"/>
    </xf>
    <xf numFmtId="0" fontId="4" fillId="0" borderId="0" xfId="0" applyFont="1"/>
    <xf numFmtId="0" fontId="1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vertical="top"/>
      <protection locked="0"/>
    </xf>
    <xf numFmtId="0" fontId="5" fillId="0" borderId="35" xfId="0" applyFont="1" applyBorder="1" applyAlignment="1">
      <alignment vertical="top" wrapText="1"/>
    </xf>
    <xf numFmtId="0" fontId="5" fillId="0" borderId="36" xfId="0" applyFont="1" applyBorder="1" applyAlignment="1">
      <alignment vertical="top" wrapText="1"/>
    </xf>
    <xf numFmtId="0" fontId="5" fillId="0" borderId="37" xfId="0" applyFont="1" applyBorder="1" applyAlignment="1">
      <alignment vertical="top" wrapText="1"/>
    </xf>
    <xf numFmtId="0" fontId="11" fillId="2" borderId="17" xfId="0" applyFont="1" applyFill="1" applyBorder="1" applyAlignment="1">
      <alignment vertical="center"/>
    </xf>
    <xf numFmtId="0" fontId="11" fillId="2" borderId="38" xfId="0" applyFont="1" applyFill="1" applyBorder="1" applyAlignment="1">
      <alignment horizontal="left" vertical="center"/>
    </xf>
    <xf numFmtId="0" fontId="11" fillId="2" borderId="38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8" fillId="2" borderId="22" xfId="0" quotePrefix="1" applyFont="1" applyFill="1" applyBorder="1" applyAlignment="1">
      <alignment vertical="center"/>
    </xf>
    <xf numFmtId="0" fontId="2" fillId="0" borderId="0" xfId="0" quotePrefix="1" applyFont="1" applyAlignment="1">
      <alignment horizontal="left"/>
    </xf>
    <xf numFmtId="0" fontId="2" fillId="0" borderId="4" xfId="0" quotePrefix="1" applyFont="1" applyBorder="1" applyAlignment="1">
      <alignment horizontal="left"/>
    </xf>
    <xf numFmtId="0" fontId="2" fillId="0" borderId="2" xfId="0" quotePrefix="1" applyFont="1" applyBorder="1" applyAlignment="1">
      <alignment horizontal="left"/>
    </xf>
    <xf numFmtId="0" fontId="0" fillId="0" borderId="2" xfId="0" quotePrefix="1" applyBorder="1" applyAlignment="1">
      <alignment horizontal="left"/>
    </xf>
    <xf numFmtId="49" fontId="0" fillId="0" borderId="4" xfId="0" quotePrefix="1" applyNumberFormat="1" applyBorder="1" applyAlignment="1">
      <alignment horizontal="left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498061</xdr:colOff>
      <xdr:row>4</xdr:row>
      <xdr:rowOff>11133</xdr:rowOff>
    </xdr:from>
    <xdr:to>
      <xdr:col>10</xdr:col>
      <xdr:colOff>908046</xdr:colOff>
      <xdr:row>14</xdr:row>
      <xdr:rowOff>26967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EE4657-76CC-44F7-95F8-4CFD6FF44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3820072" y="1115167"/>
          <a:ext cx="3968872" cy="20334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31D0D3-0E4B-44F4-BCBD-E82D6620D4C2}" name="Table2" displayName="Table2" ref="A17:K95" headerRowDxfId="22" headerRowBorderDxfId="21" tableBorderDxfId="20">
  <autoFilter ref="A17:K95" xr:uid="{7031D0D3-0E4B-44F4-BCBD-E82D6620D4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EB15DA4-0DC2-4455-9FF5-07846D77300F}" name="Part number" totalsRowLabel="Total" dataDxfId="19" totalsRowDxfId="18"/>
    <tableColumn id="2" xr3:uid="{D450226E-5796-4E7D-951E-F75A50726A42}" name="Quantity" dataDxfId="17" totalsRowDxfId="16"/>
    <tableColumn id="3" xr3:uid="{5AB00E20-369A-4B2C-81DC-9C7BC1084570}" name="Description" dataDxfId="15" totalsRowDxfId="14"/>
    <tableColumn id="5" xr3:uid="{1CE6B551-27BB-4996-9F2A-65E4ED0CEEF2}" name="Designator" dataDxfId="13" totalsRowDxfId="12"/>
    <tableColumn id="6" xr3:uid="{D69EAA85-8C40-4AD0-81D2-F33B1FCD17F5}" name="LibRef" dataDxfId="11" totalsRowDxfId="10"/>
    <tableColumn id="4" xr3:uid="{9C55F33C-055F-4579-B315-ADADDD3ACE98}" name="Manufacturer" dataDxfId="9" totalsRowDxfId="8"/>
    <tableColumn id="7" xr3:uid="{A9AD84F8-EC0D-4402-8FA1-A694B860DB22}" name="Supplier 1" dataDxfId="7" totalsRowDxfId="6"/>
    <tableColumn id="8" xr3:uid="{1220B447-4FFF-4CB0-AFB3-3B8BDAE12021}" name="Supplier Part Number 1"/>
    <tableColumn id="9" xr3:uid="{9452BF06-D512-4EB0-87A8-261C22D8D44C}" name="Supplier Order Qty 1" dataDxfId="5" totalsRowDxfId="4"/>
    <tableColumn id="10" xr3:uid="{E911C148-16E4-407B-B027-47EA1F7B9E4B}" name="Supplier Unit Price 1" dataDxfId="3" totalsRowDxfId="2"/>
    <tableColumn id="11" xr3:uid="{92B92F72-46BA-410F-951B-5F5C11823D2A}" name="Supplier Subtotal 1" totalsRowFunction="count" dataDxfId="1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107"/>
  <sheetViews>
    <sheetView showGridLines="0" tabSelected="1" zoomScaleNormal="100" workbookViewId="0">
      <selection activeCell="E44" sqref="E44"/>
    </sheetView>
  </sheetViews>
  <sheetFormatPr defaultRowHeight="12.75" x14ac:dyDescent="0.2"/>
  <cols>
    <col min="1" max="1" width="23.28515625" style="4" customWidth="1"/>
    <col min="2" max="2" width="19.28515625" style="8" customWidth="1"/>
    <col min="3" max="3" width="33.28515625" style="8" customWidth="1"/>
    <col min="4" max="4" width="24.85546875" style="4" customWidth="1"/>
    <col min="5" max="5" width="20.7109375" style="4" customWidth="1"/>
    <col min="6" max="6" width="27.85546875" style="4" customWidth="1"/>
    <col min="7" max="7" width="21.28515625" style="4" customWidth="1"/>
    <col min="8" max="8" width="29.140625" style="4" customWidth="1"/>
    <col min="9" max="10" width="26.7109375" style="4" customWidth="1"/>
    <col min="11" max="11" width="25.5703125" style="4" customWidth="1"/>
    <col min="12" max="16384" width="9.140625" style="4"/>
  </cols>
  <sheetData>
    <row r="2" spans="1:12" ht="13.5" thickBot="1" x14ac:dyDescent="0.25">
      <c r="A2" s="49"/>
      <c r="B2" s="50"/>
      <c r="C2" s="50"/>
      <c r="D2" s="51"/>
      <c r="E2" s="51"/>
      <c r="F2" s="51"/>
      <c r="G2" s="51"/>
      <c r="H2" s="51"/>
      <c r="I2" s="51"/>
      <c r="J2" s="51"/>
      <c r="K2" s="83"/>
      <c r="L2"/>
    </row>
    <row r="3" spans="1:12" ht="37.5" customHeight="1" thickBot="1" x14ac:dyDescent="0.25">
      <c r="A3" s="13" t="s">
        <v>8</v>
      </c>
      <c r="B3" s="93"/>
      <c r="C3" s="9"/>
      <c r="D3" s="105" t="s">
        <v>15</v>
      </c>
      <c r="E3" s="52"/>
      <c r="F3" s="52"/>
      <c r="G3" s="52"/>
      <c r="H3" s="52"/>
      <c r="I3" s="52"/>
      <c r="J3" s="52"/>
      <c r="K3" s="53"/>
      <c r="L3"/>
    </row>
    <row r="4" spans="1:12" ht="23.25" customHeight="1" x14ac:dyDescent="0.2">
      <c r="A4" s="5" t="s">
        <v>5</v>
      </c>
      <c r="B4" s="93"/>
      <c r="C4" s="106" t="s">
        <v>16</v>
      </c>
      <c r="D4" s="85"/>
      <c r="E4"/>
      <c r="F4"/>
      <c r="G4"/>
      <c r="H4"/>
      <c r="I4" s="87"/>
      <c r="J4" s="88"/>
      <c r="K4" s="89"/>
      <c r="L4"/>
    </row>
    <row r="5" spans="1:12" ht="17.25" customHeight="1" x14ac:dyDescent="0.2">
      <c r="A5" s="5" t="s">
        <v>7</v>
      </c>
      <c r="B5" s="93"/>
      <c r="C5" s="107" t="s">
        <v>17</v>
      </c>
      <c r="D5" s="35"/>
      <c r="E5"/>
      <c r="F5"/>
      <c r="G5"/>
      <c r="H5"/>
      <c r="I5" s="2"/>
      <c r="J5"/>
      <c r="K5" s="40"/>
      <c r="L5"/>
    </row>
    <row r="6" spans="1:12" ht="17.25" customHeight="1" x14ac:dyDescent="0.2">
      <c r="A6" s="5" t="s">
        <v>6</v>
      </c>
      <c r="B6" s="93"/>
      <c r="C6" s="108" t="s">
        <v>18</v>
      </c>
      <c r="D6" s="3"/>
      <c r="E6"/>
      <c r="F6"/>
      <c r="G6"/>
      <c r="H6"/>
      <c r="I6" s="2"/>
      <c r="J6"/>
      <c r="K6" s="40"/>
      <c r="L6"/>
    </row>
    <row r="7" spans="1:12" ht="17.25" customHeight="1" x14ac:dyDescent="0.2">
      <c r="A7" s="5" t="s">
        <v>11</v>
      </c>
      <c r="B7" s="93"/>
      <c r="C7" s="108" t="s">
        <v>19</v>
      </c>
      <c r="D7" s="3"/>
      <c r="E7"/>
      <c r="F7"/>
      <c r="G7"/>
      <c r="H7"/>
      <c r="I7" s="2"/>
      <c r="J7"/>
      <c r="K7" s="40"/>
      <c r="L7"/>
    </row>
    <row r="8" spans="1:12" x14ac:dyDescent="0.2">
      <c r="A8" s="32"/>
      <c r="B8" s="33"/>
      <c r="C8" s="10"/>
      <c r="D8" s="3"/>
      <c r="E8" s="34"/>
      <c r="F8" s="3"/>
      <c r="G8" s="3"/>
      <c r="H8" s="92"/>
      <c r="I8" s="5"/>
      <c r="J8" s="85"/>
      <c r="K8" s="86"/>
      <c r="L8"/>
    </row>
    <row r="9" spans="1:12" ht="15.75" customHeight="1" x14ac:dyDescent="0.2">
      <c r="A9" s="45" t="s">
        <v>2</v>
      </c>
      <c r="B9" s="109" t="s">
        <v>20</v>
      </c>
      <c r="C9" s="109" t="s">
        <v>21</v>
      </c>
      <c r="D9" s="94"/>
      <c r="E9"/>
      <c r="F9"/>
      <c r="G9"/>
      <c r="H9"/>
      <c r="I9" s="90"/>
      <c r="J9"/>
      <c r="K9" s="40"/>
      <c r="L9" s="1"/>
    </row>
    <row r="10" spans="1:12" ht="15.75" customHeight="1" x14ac:dyDescent="0.2">
      <c r="A10" s="46" t="s">
        <v>3</v>
      </c>
      <c r="B10" s="48">
        <f ca="1">TODAY()</f>
        <v>45646</v>
      </c>
      <c r="C10" s="47">
        <f ca="1">NOW()</f>
        <v>45646.640097453703</v>
      </c>
      <c r="D10" s="94"/>
      <c r="E10"/>
      <c r="F10"/>
      <c r="G10"/>
      <c r="H10"/>
      <c r="I10" s="2"/>
      <c r="J10"/>
      <c r="K10" s="40"/>
      <c r="L10" s="1"/>
    </row>
    <row r="11" spans="1:12" ht="15.75" customHeight="1" x14ac:dyDescent="0.2">
      <c r="A11" s="6"/>
      <c r="B11" s="11"/>
      <c r="C11" s="11"/>
      <c r="D11" s="94"/>
      <c r="E11"/>
      <c r="F11"/>
      <c r="G11"/>
      <c r="H11"/>
      <c r="I11" s="2"/>
      <c r="J11"/>
      <c r="K11" s="40"/>
      <c r="L11"/>
    </row>
    <row r="12" spans="1:12" ht="15.75" customHeight="1" x14ac:dyDescent="0.2">
      <c r="A12" s="45" t="s">
        <v>9</v>
      </c>
      <c r="B12" s="110" t="s">
        <v>22</v>
      </c>
      <c r="C12" s="11"/>
      <c r="D12" s="94"/>
      <c r="E12"/>
      <c r="F12"/>
      <c r="G12"/>
      <c r="H12"/>
      <c r="I12" s="2"/>
      <c r="J12"/>
      <c r="K12" s="40"/>
      <c r="L12"/>
    </row>
    <row r="13" spans="1:12" ht="15.75" customHeight="1" x14ac:dyDescent="0.2">
      <c r="A13" s="45" t="s">
        <v>10</v>
      </c>
      <c r="B13" s="110" t="s">
        <v>23</v>
      </c>
      <c r="C13" s="11"/>
      <c r="D13" s="94"/>
      <c r="E13"/>
      <c r="F13"/>
      <c r="G13"/>
      <c r="H13"/>
      <c r="I13" s="2"/>
      <c r="J13"/>
      <c r="K13" s="40"/>
      <c r="L13"/>
    </row>
    <row r="14" spans="1:12" ht="15.75" customHeight="1" x14ac:dyDescent="0.2">
      <c r="A14" s="45" t="s">
        <v>14</v>
      </c>
      <c r="B14" s="81">
        <f>SUM(K18:K94)/B12</f>
        <v>0</v>
      </c>
      <c r="C14" s="11"/>
      <c r="D14" s="94"/>
      <c r="E14"/>
      <c r="F14"/>
      <c r="G14"/>
      <c r="H14"/>
      <c r="I14" s="2"/>
      <c r="J14"/>
      <c r="K14" s="40"/>
      <c r="L14"/>
    </row>
    <row r="15" spans="1:12" ht="15.75" customHeight="1" x14ac:dyDescent="0.2">
      <c r="A15" s="45"/>
      <c r="B15" s="71"/>
      <c r="C15" s="71"/>
      <c r="D15" s="94"/>
      <c r="E15"/>
      <c r="F15"/>
      <c r="G15"/>
      <c r="H15"/>
      <c r="I15" s="2"/>
      <c r="J15"/>
      <c r="K15" s="40"/>
      <c r="L15"/>
    </row>
    <row r="16" spans="1:12" ht="15.75" customHeight="1" x14ac:dyDescent="0.2">
      <c r="A16" s="2"/>
      <c r="B16" s="93"/>
      <c r="C16" s="93"/>
      <c r="D16"/>
      <c r="E16"/>
      <c r="F16"/>
      <c r="G16"/>
      <c r="H16"/>
      <c r="I16" s="91"/>
      <c r="J16" s="3"/>
      <c r="K16" s="92"/>
      <c r="L16"/>
    </row>
    <row r="17" spans="1:11" s="12" customFormat="1" ht="19.5" customHeight="1" x14ac:dyDescent="0.2">
      <c r="A17" s="101" t="s">
        <v>24</v>
      </c>
      <c r="B17" s="102" t="s">
        <v>96</v>
      </c>
      <c r="C17" s="103" t="s">
        <v>97</v>
      </c>
      <c r="D17" s="103" t="s">
        <v>147</v>
      </c>
      <c r="E17" s="103" t="s">
        <v>225</v>
      </c>
      <c r="F17" s="103" t="s">
        <v>303</v>
      </c>
      <c r="G17" s="103" t="s">
        <v>338</v>
      </c>
      <c r="H17" s="103" t="s">
        <v>339</v>
      </c>
      <c r="I17" s="103" t="s">
        <v>340</v>
      </c>
      <c r="J17" s="103" t="s">
        <v>341</v>
      </c>
      <c r="K17" s="104" t="s">
        <v>342</v>
      </c>
    </row>
    <row r="18" spans="1:11" s="7" customFormat="1" ht="25.5" x14ac:dyDescent="0.2">
      <c r="A18" s="98" t="s">
        <v>25</v>
      </c>
      <c r="B18" s="69">
        <v>1</v>
      </c>
      <c r="C18" s="65" t="s">
        <v>98</v>
      </c>
      <c r="D18" s="70" t="s">
        <v>148</v>
      </c>
      <c r="E18" s="78" t="s">
        <v>226</v>
      </c>
      <c r="F18" s="70" t="s">
        <v>304</v>
      </c>
      <c r="G18" s="70"/>
      <c r="H18" s="70"/>
      <c r="I18" s="65"/>
      <c r="J18" s="65"/>
      <c r="K18" s="70"/>
    </row>
    <row r="19" spans="1:11" s="7" customFormat="1" ht="25.5" x14ac:dyDescent="0.2">
      <c r="A19" s="99">
        <v>744029001</v>
      </c>
      <c r="B19" s="62">
        <v>1</v>
      </c>
      <c r="C19" s="14" t="s">
        <v>99</v>
      </c>
      <c r="D19" s="63" t="s">
        <v>149</v>
      </c>
      <c r="E19" s="79" t="s">
        <v>227</v>
      </c>
      <c r="F19" s="63" t="s">
        <v>305</v>
      </c>
      <c r="G19" s="62"/>
      <c r="H19" s="62"/>
      <c r="I19" s="64"/>
      <c r="J19" s="64"/>
      <c r="K19" s="63"/>
    </row>
    <row r="20" spans="1:11" s="7" customFormat="1" x14ac:dyDescent="0.2">
      <c r="A20" s="98" t="s">
        <v>26</v>
      </c>
      <c r="B20" s="69">
        <v>1</v>
      </c>
      <c r="C20" s="65" t="s">
        <v>100</v>
      </c>
      <c r="D20" s="70" t="s">
        <v>150</v>
      </c>
      <c r="E20" s="78" t="s">
        <v>228</v>
      </c>
      <c r="F20" s="70" t="s">
        <v>306</v>
      </c>
      <c r="G20" s="70"/>
      <c r="H20" s="70"/>
      <c r="I20" s="65"/>
      <c r="J20" s="65"/>
      <c r="K20" s="70"/>
    </row>
    <row r="21" spans="1:11" s="7" customFormat="1" ht="38.25" x14ac:dyDescent="0.2">
      <c r="A21" s="99" t="s">
        <v>27</v>
      </c>
      <c r="B21" s="62">
        <v>2</v>
      </c>
      <c r="C21" s="14" t="s">
        <v>101</v>
      </c>
      <c r="D21" s="63" t="s">
        <v>151</v>
      </c>
      <c r="E21" s="79" t="s">
        <v>229</v>
      </c>
      <c r="F21" s="63" t="s">
        <v>304</v>
      </c>
      <c r="G21" s="62"/>
      <c r="H21" s="62"/>
      <c r="I21" s="64"/>
      <c r="J21" s="64"/>
      <c r="K21" s="63"/>
    </row>
    <row r="22" spans="1:11" s="7" customFormat="1" x14ac:dyDescent="0.2">
      <c r="A22" s="98" t="s">
        <v>28</v>
      </c>
      <c r="B22" s="69">
        <v>2</v>
      </c>
      <c r="C22" s="65" t="s">
        <v>102</v>
      </c>
      <c r="D22" s="70" t="s">
        <v>152</v>
      </c>
      <c r="E22" s="78" t="s">
        <v>230</v>
      </c>
      <c r="F22" s="70" t="s">
        <v>307</v>
      </c>
      <c r="G22" s="70"/>
      <c r="H22" s="70"/>
      <c r="I22" s="65"/>
      <c r="J22" s="65"/>
      <c r="K22" s="70"/>
    </row>
    <row r="23" spans="1:11" s="7" customFormat="1" ht="25.5" x14ac:dyDescent="0.2">
      <c r="A23" s="99" t="s">
        <v>29</v>
      </c>
      <c r="B23" s="62">
        <v>2</v>
      </c>
      <c r="C23" s="14" t="s">
        <v>103</v>
      </c>
      <c r="D23" s="63" t="s">
        <v>153</v>
      </c>
      <c r="E23" s="79" t="s">
        <v>231</v>
      </c>
      <c r="F23" s="63" t="s">
        <v>308</v>
      </c>
      <c r="G23" s="62"/>
      <c r="H23" s="62"/>
      <c r="I23" s="64"/>
      <c r="J23" s="64"/>
      <c r="K23" s="63"/>
    </row>
    <row r="24" spans="1:11" s="7" customFormat="1" ht="51" x14ac:dyDescent="0.2">
      <c r="A24" s="98" t="s">
        <v>30</v>
      </c>
      <c r="B24" s="69">
        <v>1</v>
      </c>
      <c r="C24" s="65" t="s">
        <v>104</v>
      </c>
      <c r="D24" s="70" t="s">
        <v>154</v>
      </c>
      <c r="E24" s="78" t="s">
        <v>232</v>
      </c>
      <c r="F24" s="70" t="s">
        <v>309</v>
      </c>
      <c r="G24" s="70"/>
      <c r="H24" s="70"/>
      <c r="I24" s="65"/>
      <c r="J24" s="65"/>
      <c r="K24" s="70"/>
    </row>
    <row r="25" spans="1:11" s="7" customFormat="1" ht="51" x14ac:dyDescent="0.2">
      <c r="A25" s="99" t="s">
        <v>31</v>
      </c>
      <c r="B25" s="62">
        <v>1</v>
      </c>
      <c r="C25" s="14" t="s">
        <v>105</v>
      </c>
      <c r="D25" s="63" t="s">
        <v>155</v>
      </c>
      <c r="E25" s="79" t="s">
        <v>233</v>
      </c>
      <c r="F25" s="63" t="s">
        <v>310</v>
      </c>
      <c r="G25" s="62"/>
      <c r="H25" s="62"/>
      <c r="I25" s="64"/>
      <c r="J25" s="64"/>
      <c r="K25" s="63"/>
    </row>
    <row r="26" spans="1:11" s="7" customFormat="1" ht="38.25" x14ac:dyDescent="0.2">
      <c r="A26" s="98" t="s">
        <v>32</v>
      </c>
      <c r="B26" s="69">
        <v>1</v>
      </c>
      <c r="C26" s="65" t="s">
        <v>106</v>
      </c>
      <c r="D26" s="70" t="s">
        <v>156</v>
      </c>
      <c r="E26" s="78" t="s">
        <v>234</v>
      </c>
      <c r="F26" s="70" t="s">
        <v>311</v>
      </c>
      <c r="G26" s="70"/>
      <c r="H26" s="70"/>
      <c r="I26" s="65"/>
      <c r="J26" s="65"/>
      <c r="K26" s="70"/>
    </row>
    <row r="27" spans="1:11" s="7" customFormat="1" ht="38.25" x14ac:dyDescent="0.2">
      <c r="A27" s="99" t="s">
        <v>33</v>
      </c>
      <c r="B27" s="62">
        <v>2</v>
      </c>
      <c r="C27" s="14" t="s">
        <v>107</v>
      </c>
      <c r="D27" s="63" t="s">
        <v>157</v>
      </c>
      <c r="E27" s="79" t="s">
        <v>235</v>
      </c>
      <c r="F27" s="63" t="s">
        <v>312</v>
      </c>
      <c r="G27" s="62"/>
      <c r="H27" s="62"/>
      <c r="I27" s="64"/>
      <c r="J27" s="64"/>
      <c r="K27" s="63"/>
    </row>
    <row r="28" spans="1:11" s="7" customFormat="1" ht="38.25" x14ac:dyDescent="0.2">
      <c r="A28" s="98" t="s">
        <v>34</v>
      </c>
      <c r="B28" s="69">
        <v>1</v>
      </c>
      <c r="C28" s="65" t="s">
        <v>108</v>
      </c>
      <c r="D28" s="70" t="s">
        <v>158</v>
      </c>
      <c r="E28" s="78" t="s">
        <v>236</v>
      </c>
      <c r="F28" s="70" t="s">
        <v>312</v>
      </c>
      <c r="G28" s="70"/>
      <c r="H28" s="70"/>
      <c r="I28" s="65"/>
      <c r="J28" s="65"/>
      <c r="K28" s="70"/>
    </row>
    <row r="29" spans="1:11" s="7" customFormat="1" ht="25.5" x14ac:dyDescent="0.2">
      <c r="A29" s="99" t="s">
        <v>35</v>
      </c>
      <c r="B29" s="62">
        <v>1</v>
      </c>
      <c r="C29" s="14" t="s">
        <v>109</v>
      </c>
      <c r="D29" s="63" t="s">
        <v>159</v>
      </c>
      <c r="E29" s="79" t="s">
        <v>237</v>
      </c>
      <c r="F29" s="63" t="s">
        <v>313</v>
      </c>
      <c r="G29" s="62"/>
      <c r="H29" s="62"/>
      <c r="I29" s="64"/>
      <c r="J29" s="64"/>
      <c r="K29" s="63"/>
    </row>
    <row r="30" spans="1:11" s="7" customFormat="1" ht="25.5" x14ac:dyDescent="0.2">
      <c r="A30" s="98" t="s">
        <v>36</v>
      </c>
      <c r="B30" s="69">
        <v>1</v>
      </c>
      <c r="C30" s="65" t="s">
        <v>110</v>
      </c>
      <c r="D30" s="70" t="s">
        <v>160</v>
      </c>
      <c r="E30" s="78" t="s">
        <v>238</v>
      </c>
      <c r="F30" s="70" t="s">
        <v>313</v>
      </c>
      <c r="G30" s="70"/>
      <c r="H30" s="70"/>
      <c r="I30" s="65"/>
      <c r="J30" s="65"/>
      <c r="K30" s="70"/>
    </row>
    <row r="31" spans="1:11" s="7" customFormat="1" ht="38.25" x14ac:dyDescent="0.2">
      <c r="A31" s="99" t="s">
        <v>37</v>
      </c>
      <c r="B31" s="62">
        <v>9</v>
      </c>
      <c r="C31" s="14" t="s">
        <v>111</v>
      </c>
      <c r="D31" s="63" t="s">
        <v>161</v>
      </c>
      <c r="E31" s="79" t="s">
        <v>239</v>
      </c>
      <c r="F31" s="63" t="s">
        <v>314</v>
      </c>
      <c r="G31" s="62"/>
      <c r="H31" s="62"/>
      <c r="I31" s="64"/>
      <c r="J31" s="64"/>
      <c r="K31" s="63"/>
    </row>
    <row r="32" spans="1:11" s="7" customFormat="1" ht="25.5" x14ac:dyDescent="0.2">
      <c r="A32" s="98" t="s">
        <v>38</v>
      </c>
      <c r="B32" s="69">
        <v>1</v>
      </c>
      <c r="C32" s="65" t="s">
        <v>112</v>
      </c>
      <c r="D32" s="70" t="s">
        <v>162</v>
      </c>
      <c r="E32" s="78" t="s">
        <v>240</v>
      </c>
      <c r="F32" s="70" t="s">
        <v>315</v>
      </c>
      <c r="G32" s="70"/>
      <c r="H32" s="70"/>
      <c r="I32" s="65"/>
      <c r="J32" s="65"/>
      <c r="K32" s="70"/>
    </row>
    <row r="33" spans="1:11" s="7" customFormat="1" ht="25.5" x14ac:dyDescent="0.2">
      <c r="A33" s="99" t="s">
        <v>39</v>
      </c>
      <c r="B33" s="62">
        <v>8</v>
      </c>
      <c r="C33" s="14" t="s">
        <v>113</v>
      </c>
      <c r="D33" s="63" t="s">
        <v>163</v>
      </c>
      <c r="E33" s="79" t="s">
        <v>241</v>
      </c>
      <c r="F33" s="63" t="s">
        <v>315</v>
      </c>
      <c r="G33" s="62"/>
      <c r="H33" s="62"/>
      <c r="I33" s="64"/>
      <c r="J33" s="64"/>
      <c r="K33" s="63"/>
    </row>
    <row r="34" spans="1:11" s="7" customFormat="1" ht="25.5" x14ac:dyDescent="0.2">
      <c r="A34" s="98" t="s">
        <v>40</v>
      </c>
      <c r="B34" s="69">
        <v>8</v>
      </c>
      <c r="C34" s="65" t="s">
        <v>114</v>
      </c>
      <c r="D34" s="70" t="s">
        <v>164</v>
      </c>
      <c r="E34" s="78" t="s">
        <v>242</v>
      </c>
      <c r="F34" s="70" t="s">
        <v>316</v>
      </c>
      <c r="G34" s="70"/>
      <c r="H34" s="70"/>
      <c r="I34" s="65"/>
      <c r="J34" s="65"/>
      <c r="K34" s="70"/>
    </row>
    <row r="35" spans="1:11" s="7" customFormat="1" ht="38.25" x14ac:dyDescent="0.2">
      <c r="A35" s="99" t="s">
        <v>41</v>
      </c>
      <c r="B35" s="62">
        <v>1</v>
      </c>
      <c r="C35" s="14" t="s">
        <v>115</v>
      </c>
      <c r="D35" s="63" t="s">
        <v>165</v>
      </c>
      <c r="E35" s="79" t="s">
        <v>243</v>
      </c>
      <c r="F35" s="63" t="s">
        <v>317</v>
      </c>
      <c r="G35" s="62"/>
      <c r="H35" s="62"/>
      <c r="I35" s="64"/>
      <c r="J35" s="64"/>
      <c r="K35" s="63"/>
    </row>
    <row r="36" spans="1:11" s="7" customFormat="1" ht="38.25" x14ac:dyDescent="0.2">
      <c r="A36" s="98" t="s">
        <v>42</v>
      </c>
      <c r="B36" s="69">
        <v>1</v>
      </c>
      <c r="C36" s="65" t="s">
        <v>116</v>
      </c>
      <c r="D36" s="70" t="s">
        <v>166</v>
      </c>
      <c r="E36" s="78" t="s">
        <v>244</v>
      </c>
      <c r="F36" s="70" t="s">
        <v>318</v>
      </c>
      <c r="G36" s="70"/>
      <c r="H36" s="70"/>
      <c r="I36" s="65"/>
      <c r="J36" s="65"/>
      <c r="K36" s="70"/>
    </row>
    <row r="37" spans="1:11" s="7" customFormat="1" ht="25.5" x14ac:dyDescent="0.2">
      <c r="A37" s="99" t="s">
        <v>43</v>
      </c>
      <c r="B37" s="62">
        <v>6</v>
      </c>
      <c r="C37" s="14" t="s">
        <v>117</v>
      </c>
      <c r="D37" s="63" t="s">
        <v>167</v>
      </c>
      <c r="E37" s="79" t="s">
        <v>245</v>
      </c>
      <c r="F37" s="63" t="s">
        <v>43</v>
      </c>
      <c r="G37" s="62"/>
      <c r="H37" s="62"/>
      <c r="I37" s="64"/>
      <c r="J37" s="64"/>
      <c r="K37" s="63"/>
    </row>
    <row r="38" spans="1:11" s="7" customFormat="1" ht="25.5" x14ac:dyDescent="0.2">
      <c r="A38" s="98" t="s">
        <v>44</v>
      </c>
      <c r="B38" s="69">
        <v>8</v>
      </c>
      <c r="C38" s="65" t="s">
        <v>118</v>
      </c>
      <c r="D38" s="70" t="s">
        <v>168</v>
      </c>
      <c r="E38" s="78" t="s">
        <v>246</v>
      </c>
      <c r="F38" s="70" t="s">
        <v>319</v>
      </c>
      <c r="G38" s="70"/>
      <c r="H38" s="70"/>
      <c r="I38" s="65"/>
      <c r="J38" s="65"/>
      <c r="K38" s="70"/>
    </row>
    <row r="39" spans="1:11" s="7" customFormat="1" ht="38.25" x14ac:dyDescent="0.2">
      <c r="A39" s="99" t="s">
        <v>45</v>
      </c>
      <c r="B39" s="62">
        <v>8</v>
      </c>
      <c r="C39" s="14" t="s">
        <v>119</v>
      </c>
      <c r="D39" s="63" t="s">
        <v>169</v>
      </c>
      <c r="E39" s="79" t="s">
        <v>247</v>
      </c>
      <c r="F39" s="63" t="s">
        <v>320</v>
      </c>
      <c r="G39" s="62"/>
      <c r="H39" s="62"/>
      <c r="I39" s="64"/>
      <c r="J39" s="64"/>
      <c r="K39" s="63"/>
    </row>
    <row r="40" spans="1:11" s="7" customFormat="1" ht="25.5" x14ac:dyDescent="0.2">
      <c r="A40" s="98">
        <v>61300211121</v>
      </c>
      <c r="B40" s="69">
        <v>1</v>
      </c>
      <c r="C40" s="65" t="s">
        <v>120</v>
      </c>
      <c r="D40" s="70" t="s">
        <v>170</v>
      </c>
      <c r="E40" s="78" t="s">
        <v>248</v>
      </c>
      <c r="F40" s="70" t="s">
        <v>321</v>
      </c>
      <c r="G40" s="70"/>
      <c r="H40" s="70"/>
      <c r="I40" s="65"/>
      <c r="J40" s="65"/>
      <c r="K40" s="70"/>
    </row>
    <row r="41" spans="1:11" s="7" customFormat="1" ht="51" x14ac:dyDescent="0.2">
      <c r="A41" s="99" t="s">
        <v>46</v>
      </c>
      <c r="B41" s="62">
        <v>1</v>
      </c>
      <c r="C41" s="14" t="s">
        <v>121</v>
      </c>
      <c r="D41" s="63" t="s">
        <v>171</v>
      </c>
      <c r="E41" s="79" t="s">
        <v>249</v>
      </c>
      <c r="F41" s="63" t="s">
        <v>322</v>
      </c>
      <c r="G41" s="62"/>
      <c r="H41" s="62"/>
      <c r="I41" s="64"/>
      <c r="J41" s="64"/>
      <c r="K41" s="63"/>
    </row>
    <row r="42" spans="1:11" s="7" customFormat="1" ht="25.5" x14ac:dyDescent="0.2">
      <c r="A42" s="98" t="s">
        <v>47</v>
      </c>
      <c r="B42" s="69">
        <v>1</v>
      </c>
      <c r="C42" s="65" t="s">
        <v>122</v>
      </c>
      <c r="D42" s="70" t="s">
        <v>172</v>
      </c>
      <c r="E42" s="78" t="s">
        <v>250</v>
      </c>
      <c r="F42" s="70" t="s">
        <v>323</v>
      </c>
      <c r="G42" s="70"/>
      <c r="H42" s="70"/>
      <c r="I42" s="65"/>
      <c r="J42" s="65"/>
      <c r="K42" s="70"/>
    </row>
    <row r="43" spans="1:11" s="7" customFormat="1" ht="51" x14ac:dyDescent="0.2">
      <c r="A43" s="99" t="s">
        <v>48</v>
      </c>
      <c r="B43" s="62">
        <v>10</v>
      </c>
      <c r="C43" s="14" t="s">
        <v>123</v>
      </c>
      <c r="D43" s="63" t="s">
        <v>173</v>
      </c>
      <c r="E43" s="79" t="s">
        <v>251</v>
      </c>
      <c r="F43" s="63" t="s">
        <v>324</v>
      </c>
      <c r="G43" s="62"/>
      <c r="H43" s="62"/>
      <c r="I43" s="64"/>
      <c r="J43" s="64"/>
      <c r="K43" s="63"/>
    </row>
    <row r="44" spans="1:11" s="7" customFormat="1" ht="25.5" x14ac:dyDescent="0.2">
      <c r="A44" s="98" t="s">
        <v>49</v>
      </c>
      <c r="B44" s="69">
        <v>4</v>
      </c>
      <c r="C44" s="65" t="s">
        <v>49</v>
      </c>
      <c r="D44" s="70" t="s">
        <v>174</v>
      </c>
      <c r="E44" s="78" t="s">
        <v>252</v>
      </c>
      <c r="F44" s="70" t="s">
        <v>74</v>
      </c>
      <c r="G44" s="70"/>
      <c r="H44" s="70"/>
      <c r="I44" s="65"/>
      <c r="J44" s="65"/>
      <c r="K44" s="70"/>
    </row>
    <row r="45" spans="1:11" s="7" customFormat="1" ht="25.5" x14ac:dyDescent="0.2">
      <c r="A45" s="99" t="s">
        <v>50</v>
      </c>
      <c r="B45" s="62">
        <v>8</v>
      </c>
      <c r="C45" s="14" t="s">
        <v>50</v>
      </c>
      <c r="D45" s="63" t="s">
        <v>175</v>
      </c>
      <c r="E45" s="79" t="s">
        <v>253</v>
      </c>
      <c r="F45" s="63" t="s">
        <v>74</v>
      </c>
      <c r="G45" s="62"/>
      <c r="H45" s="62"/>
      <c r="I45" s="64"/>
      <c r="J45" s="64"/>
      <c r="K45" s="63"/>
    </row>
    <row r="46" spans="1:11" s="7" customFormat="1" ht="25.5" x14ac:dyDescent="0.2">
      <c r="A46" s="98" t="s">
        <v>51</v>
      </c>
      <c r="B46" s="69">
        <v>1</v>
      </c>
      <c r="C46" s="65" t="s">
        <v>51</v>
      </c>
      <c r="D46" s="70" t="s">
        <v>176</v>
      </c>
      <c r="E46" s="78" t="s">
        <v>254</v>
      </c>
      <c r="F46" s="70" t="s">
        <v>74</v>
      </c>
      <c r="G46" s="70"/>
      <c r="H46" s="70"/>
      <c r="I46" s="65"/>
      <c r="J46" s="65"/>
      <c r="K46" s="70"/>
    </row>
    <row r="47" spans="1:11" s="7" customFormat="1" ht="204" x14ac:dyDescent="0.2">
      <c r="A47" s="99" t="s">
        <v>52</v>
      </c>
      <c r="B47" s="62">
        <v>64</v>
      </c>
      <c r="C47" s="14" t="s">
        <v>52</v>
      </c>
      <c r="D47" s="63" t="s">
        <v>177</v>
      </c>
      <c r="E47" s="79" t="s">
        <v>255</v>
      </c>
      <c r="F47" s="63" t="s">
        <v>74</v>
      </c>
      <c r="G47" s="62"/>
      <c r="H47" s="62"/>
      <c r="I47" s="64"/>
      <c r="J47" s="64"/>
      <c r="K47" s="63"/>
    </row>
    <row r="48" spans="1:11" s="7" customFormat="1" ht="25.5" x14ac:dyDescent="0.2">
      <c r="A48" s="98" t="s">
        <v>53</v>
      </c>
      <c r="B48" s="69">
        <v>1</v>
      </c>
      <c r="C48" s="65" t="s">
        <v>53</v>
      </c>
      <c r="D48" s="70" t="s">
        <v>178</v>
      </c>
      <c r="E48" s="78" t="s">
        <v>256</v>
      </c>
      <c r="F48" s="70" t="s">
        <v>74</v>
      </c>
      <c r="G48" s="70"/>
      <c r="H48" s="70"/>
      <c r="I48" s="65"/>
      <c r="J48" s="65"/>
      <c r="K48" s="70"/>
    </row>
    <row r="49" spans="1:11" s="7" customFormat="1" ht="25.5" x14ac:dyDescent="0.2">
      <c r="A49" s="99" t="s">
        <v>54</v>
      </c>
      <c r="B49" s="62">
        <v>1</v>
      </c>
      <c r="C49" s="14" t="s">
        <v>54</v>
      </c>
      <c r="D49" s="63" t="s">
        <v>179</v>
      </c>
      <c r="E49" s="79" t="s">
        <v>257</v>
      </c>
      <c r="F49" s="63" t="s">
        <v>74</v>
      </c>
      <c r="G49" s="62"/>
      <c r="H49" s="62"/>
      <c r="I49" s="64"/>
      <c r="J49" s="64"/>
      <c r="K49" s="63"/>
    </row>
    <row r="50" spans="1:11" s="7" customFormat="1" ht="25.5" x14ac:dyDescent="0.2">
      <c r="A50" s="98" t="s">
        <v>55</v>
      </c>
      <c r="B50" s="69">
        <v>1</v>
      </c>
      <c r="C50" s="65" t="s">
        <v>55</v>
      </c>
      <c r="D50" s="70" t="s">
        <v>180</v>
      </c>
      <c r="E50" s="78" t="s">
        <v>258</v>
      </c>
      <c r="F50" s="70" t="s">
        <v>74</v>
      </c>
      <c r="G50" s="70"/>
      <c r="H50" s="70"/>
      <c r="I50" s="65"/>
      <c r="J50" s="65"/>
      <c r="K50" s="70"/>
    </row>
    <row r="51" spans="1:11" s="7" customFormat="1" ht="38.25" x14ac:dyDescent="0.2">
      <c r="A51" s="99" t="s">
        <v>56</v>
      </c>
      <c r="B51" s="62">
        <v>12</v>
      </c>
      <c r="C51" s="14" t="s">
        <v>56</v>
      </c>
      <c r="D51" s="63" t="s">
        <v>181</v>
      </c>
      <c r="E51" s="79" t="s">
        <v>259</v>
      </c>
      <c r="F51" s="63" t="s">
        <v>74</v>
      </c>
      <c r="G51" s="62"/>
      <c r="H51" s="62"/>
      <c r="I51" s="64"/>
      <c r="J51" s="64"/>
      <c r="K51" s="63"/>
    </row>
    <row r="52" spans="1:11" s="7" customFormat="1" ht="25.5" x14ac:dyDescent="0.2">
      <c r="A52" s="98" t="s">
        <v>57</v>
      </c>
      <c r="B52" s="69">
        <v>3</v>
      </c>
      <c r="C52" s="65" t="s">
        <v>57</v>
      </c>
      <c r="D52" s="70" t="s">
        <v>182</v>
      </c>
      <c r="E52" s="78" t="s">
        <v>260</v>
      </c>
      <c r="F52" s="70" t="s">
        <v>74</v>
      </c>
      <c r="G52" s="70"/>
      <c r="H52" s="70"/>
      <c r="I52" s="65"/>
      <c r="J52" s="65"/>
      <c r="K52" s="70"/>
    </row>
    <row r="53" spans="1:11" s="7" customFormat="1" ht="25.5" x14ac:dyDescent="0.2">
      <c r="A53" s="99" t="s">
        <v>58</v>
      </c>
      <c r="B53" s="62">
        <v>4</v>
      </c>
      <c r="C53" s="14" t="s">
        <v>58</v>
      </c>
      <c r="D53" s="63" t="s">
        <v>183</v>
      </c>
      <c r="E53" s="79" t="s">
        <v>261</v>
      </c>
      <c r="F53" s="63" t="s">
        <v>74</v>
      </c>
      <c r="G53" s="62"/>
      <c r="H53" s="62"/>
      <c r="I53" s="64"/>
      <c r="J53" s="64"/>
      <c r="K53" s="63"/>
    </row>
    <row r="54" spans="1:11" s="7" customFormat="1" ht="76.5" x14ac:dyDescent="0.2">
      <c r="A54" s="98" t="s">
        <v>59</v>
      </c>
      <c r="B54" s="69">
        <v>24</v>
      </c>
      <c r="C54" s="65" t="s">
        <v>124</v>
      </c>
      <c r="D54" s="70" t="s">
        <v>184</v>
      </c>
      <c r="E54" s="78" t="s">
        <v>262</v>
      </c>
      <c r="F54" s="70" t="s">
        <v>325</v>
      </c>
      <c r="G54" s="70"/>
      <c r="H54" s="70"/>
      <c r="I54" s="65"/>
      <c r="J54" s="65"/>
      <c r="K54" s="70"/>
    </row>
    <row r="55" spans="1:11" s="7" customFormat="1" ht="38.25" x14ac:dyDescent="0.2">
      <c r="A55" s="99" t="s">
        <v>60</v>
      </c>
      <c r="B55" s="62">
        <v>10</v>
      </c>
      <c r="C55" s="14" t="s">
        <v>60</v>
      </c>
      <c r="D55" s="63" t="s">
        <v>185</v>
      </c>
      <c r="E55" s="79" t="s">
        <v>263</v>
      </c>
      <c r="F55" s="63" t="s">
        <v>74</v>
      </c>
      <c r="G55" s="62"/>
      <c r="H55" s="62"/>
      <c r="I55" s="64"/>
      <c r="J55" s="64"/>
      <c r="K55" s="63"/>
    </row>
    <row r="56" spans="1:11" s="7" customFormat="1" ht="25.5" x14ac:dyDescent="0.2">
      <c r="A56" s="98" t="s">
        <v>61</v>
      </c>
      <c r="B56" s="69">
        <v>2</v>
      </c>
      <c r="C56" s="65" t="s">
        <v>61</v>
      </c>
      <c r="D56" s="70" t="s">
        <v>186</v>
      </c>
      <c r="E56" s="78" t="s">
        <v>264</v>
      </c>
      <c r="F56" s="70" t="s">
        <v>74</v>
      </c>
      <c r="G56" s="70"/>
      <c r="H56" s="70"/>
      <c r="I56" s="65"/>
      <c r="J56" s="65"/>
      <c r="K56" s="70"/>
    </row>
    <row r="57" spans="1:11" s="7" customFormat="1" ht="25.5" x14ac:dyDescent="0.2">
      <c r="A57" s="99" t="s">
        <v>62</v>
      </c>
      <c r="B57" s="62">
        <v>1</v>
      </c>
      <c r="C57" s="14" t="s">
        <v>62</v>
      </c>
      <c r="D57" s="63" t="s">
        <v>187</v>
      </c>
      <c r="E57" s="79" t="s">
        <v>265</v>
      </c>
      <c r="F57" s="63" t="s">
        <v>74</v>
      </c>
      <c r="G57" s="62"/>
      <c r="H57" s="62"/>
      <c r="I57" s="64"/>
      <c r="J57" s="64"/>
      <c r="K57" s="63"/>
    </row>
    <row r="58" spans="1:11" s="7" customFormat="1" ht="25.5" x14ac:dyDescent="0.2">
      <c r="A58" s="98" t="s">
        <v>63</v>
      </c>
      <c r="B58" s="69">
        <v>3</v>
      </c>
      <c r="C58" s="65" t="s">
        <v>63</v>
      </c>
      <c r="D58" s="70" t="s">
        <v>188</v>
      </c>
      <c r="E58" s="78" t="s">
        <v>266</v>
      </c>
      <c r="F58" s="70" t="s">
        <v>74</v>
      </c>
      <c r="G58" s="70"/>
      <c r="H58" s="70"/>
      <c r="I58" s="65"/>
      <c r="J58" s="65"/>
      <c r="K58" s="70"/>
    </row>
    <row r="59" spans="1:11" s="7" customFormat="1" ht="38.25" x14ac:dyDescent="0.2">
      <c r="A59" s="99" t="s">
        <v>64</v>
      </c>
      <c r="B59" s="62">
        <v>1</v>
      </c>
      <c r="C59" s="14" t="s">
        <v>125</v>
      </c>
      <c r="D59" s="63" t="s">
        <v>189</v>
      </c>
      <c r="E59" s="79" t="s">
        <v>267</v>
      </c>
      <c r="F59" s="63" t="s">
        <v>326</v>
      </c>
      <c r="G59" s="62"/>
      <c r="H59" s="62"/>
      <c r="I59" s="64"/>
      <c r="J59" s="64"/>
      <c r="K59" s="63"/>
    </row>
    <row r="60" spans="1:11" s="7" customFormat="1" ht="38.25" x14ac:dyDescent="0.2">
      <c r="A60" s="98" t="s">
        <v>65</v>
      </c>
      <c r="B60" s="69">
        <v>10</v>
      </c>
      <c r="C60" s="65" t="s">
        <v>126</v>
      </c>
      <c r="D60" s="70" t="s">
        <v>190</v>
      </c>
      <c r="E60" s="78" t="s">
        <v>268</v>
      </c>
      <c r="F60" s="70" t="s">
        <v>315</v>
      </c>
      <c r="G60" s="70"/>
      <c r="H60" s="70"/>
      <c r="I60" s="65"/>
      <c r="J60" s="65"/>
      <c r="K60" s="70"/>
    </row>
    <row r="61" spans="1:11" s="7" customFormat="1" ht="25.5" x14ac:dyDescent="0.2">
      <c r="A61" s="99" t="s">
        <v>66</v>
      </c>
      <c r="B61" s="62">
        <v>1</v>
      </c>
      <c r="C61" s="14" t="s">
        <v>127</v>
      </c>
      <c r="D61" s="63" t="s">
        <v>191</v>
      </c>
      <c r="E61" s="79" t="s">
        <v>269</v>
      </c>
      <c r="F61" s="63" t="s">
        <v>327</v>
      </c>
      <c r="G61" s="62"/>
      <c r="H61" s="62"/>
      <c r="I61" s="64"/>
      <c r="J61" s="64"/>
      <c r="K61" s="63"/>
    </row>
    <row r="62" spans="1:11" s="7" customFormat="1" x14ac:dyDescent="0.2">
      <c r="A62" s="98" t="s">
        <v>67</v>
      </c>
      <c r="B62" s="69">
        <v>1</v>
      </c>
      <c r="C62" s="65" t="s">
        <v>128</v>
      </c>
      <c r="D62" s="70" t="s">
        <v>192</v>
      </c>
      <c r="E62" s="78" t="s">
        <v>270</v>
      </c>
      <c r="F62" s="70" t="s">
        <v>307</v>
      </c>
      <c r="G62" s="70"/>
      <c r="H62" s="70"/>
      <c r="I62" s="65"/>
      <c r="J62" s="65"/>
      <c r="K62" s="70"/>
    </row>
    <row r="63" spans="1:11" s="7" customFormat="1" ht="25.5" x14ac:dyDescent="0.2">
      <c r="A63" s="99" t="s">
        <v>68</v>
      </c>
      <c r="B63" s="62">
        <v>8</v>
      </c>
      <c r="C63" s="14" t="s">
        <v>129</v>
      </c>
      <c r="D63" s="63" t="s">
        <v>193</v>
      </c>
      <c r="E63" s="79" t="s">
        <v>271</v>
      </c>
      <c r="F63" s="63" t="s">
        <v>328</v>
      </c>
      <c r="G63" s="62"/>
      <c r="H63" s="62"/>
      <c r="I63" s="64"/>
      <c r="J63" s="64"/>
      <c r="K63" s="63"/>
    </row>
    <row r="64" spans="1:11" s="7" customFormat="1" ht="38.25" x14ac:dyDescent="0.2">
      <c r="A64" s="98" t="s">
        <v>69</v>
      </c>
      <c r="B64" s="69">
        <v>10</v>
      </c>
      <c r="C64" s="65" t="s">
        <v>130</v>
      </c>
      <c r="D64" s="70" t="s">
        <v>194</v>
      </c>
      <c r="E64" s="78" t="s">
        <v>272</v>
      </c>
      <c r="F64" s="70" t="s">
        <v>329</v>
      </c>
      <c r="G64" s="70"/>
      <c r="H64" s="70"/>
      <c r="I64" s="65"/>
      <c r="J64" s="65"/>
      <c r="K64" s="70"/>
    </row>
    <row r="65" spans="1:11" s="7" customFormat="1" ht="25.5" x14ac:dyDescent="0.2">
      <c r="A65" s="99" t="s">
        <v>70</v>
      </c>
      <c r="B65" s="62">
        <v>1</v>
      </c>
      <c r="C65" s="14" t="s">
        <v>70</v>
      </c>
      <c r="D65" s="63" t="s">
        <v>195</v>
      </c>
      <c r="E65" s="79" t="s">
        <v>273</v>
      </c>
      <c r="F65" s="63" t="s">
        <v>74</v>
      </c>
      <c r="G65" s="62"/>
      <c r="H65" s="62"/>
      <c r="I65" s="64"/>
      <c r="J65" s="64"/>
      <c r="K65" s="63"/>
    </row>
    <row r="66" spans="1:11" s="7" customFormat="1" ht="25.5" x14ac:dyDescent="0.2">
      <c r="A66" s="98" t="s">
        <v>71</v>
      </c>
      <c r="B66" s="69">
        <v>1</v>
      </c>
      <c r="C66" s="65" t="s">
        <v>71</v>
      </c>
      <c r="D66" s="70" t="s">
        <v>196</v>
      </c>
      <c r="E66" s="78" t="s">
        <v>274</v>
      </c>
      <c r="F66" s="70" t="s">
        <v>74</v>
      </c>
      <c r="G66" s="70"/>
      <c r="H66" s="70"/>
      <c r="I66" s="65"/>
      <c r="J66" s="65"/>
      <c r="K66" s="70"/>
    </row>
    <row r="67" spans="1:11" s="7" customFormat="1" ht="25.5" x14ac:dyDescent="0.2">
      <c r="A67" s="99" t="s">
        <v>72</v>
      </c>
      <c r="B67" s="62">
        <v>7</v>
      </c>
      <c r="C67" s="14" t="s">
        <v>72</v>
      </c>
      <c r="D67" s="63" t="s">
        <v>197</v>
      </c>
      <c r="E67" s="79" t="s">
        <v>275</v>
      </c>
      <c r="F67" s="63" t="s">
        <v>74</v>
      </c>
      <c r="G67" s="62"/>
      <c r="H67" s="62"/>
      <c r="I67" s="64"/>
      <c r="J67" s="64"/>
      <c r="K67" s="63"/>
    </row>
    <row r="68" spans="1:11" s="7" customFormat="1" ht="25.5" x14ac:dyDescent="0.2">
      <c r="A68" s="98" t="s">
        <v>73</v>
      </c>
      <c r="B68" s="69">
        <v>6</v>
      </c>
      <c r="C68" s="65" t="s">
        <v>73</v>
      </c>
      <c r="D68" s="70" t="s">
        <v>198</v>
      </c>
      <c r="E68" s="78" t="s">
        <v>276</v>
      </c>
      <c r="F68" s="70" t="s">
        <v>74</v>
      </c>
      <c r="G68" s="70"/>
      <c r="H68" s="70"/>
      <c r="I68" s="65"/>
      <c r="J68" s="65"/>
      <c r="K68" s="70"/>
    </row>
    <row r="69" spans="1:11" s="7" customFormat="1" x14ac:dyDescent="0.2">
      <c r="A69" s="99" t="s">
        <v>74</v>
      </c>
      <c r="B69" s="62">
        <v>1</v>
      </c>
      <c r="C69" s="14" t="s">
        <v>131</v>
      </c>
      <c r="D69" s="63" t="s">
        <v>199</v>
      </c>
      <c r="E69" s="79" t="s">
        <v>277</v>
      </c>
      <c r="F69" s="63" t="s">
        <v>74</v>
      </c>
      <c r="G69" s="62"/>
      <c r="H69" s="62"/>
      <c r="I69" s="64"/>
      <c r="J69" s="64"/>
      <c r="K69" s="63"/>
    </row>
    <row r="70" spans="1:11" s="7" customFormat="1" ht="25.5" x14ac:dyDescent="0.2">
      <c r="A70" s="98" t="s">
        <v>75</v>
      </c>
      <c r="B70" s="69">
        <v>1</v>
      </c>
      <c r="C70" s="65" t="s">
        <v>75</v>
      </c>
      <c r="D70" s="70" t="s">
        <v>200</v>
      </c>
      <c r="E70" s="78" t="s">
        <v>278</v>
      </c>
      <c r="F70" s="70" t="s">
        <v>74</v>
      </c>
      <c r="G70" s="70"/>
      <c r="H70" s="70"/>
      <c r="I70" s="65"/>
      <c r="J70" s="65"/>
      <c r="K70" s="70"/>
    </row>
    <row r="71" spans="1:11" s="7" customFormat="1" ht="25.5" x14ac:dyDescent="0.2">
      <c r="A71" s="99" t="s">
        <v>76</v>
      </c>
      <c r="B71" s="62">
        <v>4</v>
      </c>
      <c r="C71" s="14" t="s">
        <v>76</v>
      </c>
      <c r="D71" s="63" t="s">
        <v>201</v>
      </c>
      <c r="E71" s="79" t="s">
        <v>279</v>
      </c>
      <c r="F71" s="63" t="s">
        <v>74</v>
      </c>
      <c r="G71" s="62"/>
      <c r="H71" s="62"/>
      <c r="I71" s="64"/>
      <c r="J71" s="64"/>
      <c r="K71" s="63"/>
    </row>
    <row r="72" spans="1:11" s="7" customFormat="1" ht="25.5" x14ac:dyDescent="0.2">
      <c r="A72" s="98" t="s">
        <v>77</v>
      </c>
      <c r="B72" s="69">
        <v>2</v>
      </c>
      <c r="C72" s="65" t="s">
        <v>77</v>
      </c>
      <c r="D72" s="70" t="s">
        <v>202</v>
      </c>
      <c r="E72" s="78" t="s">
        <v>280</v>
      </c>
      <c r="F72" s="70" t="s">
        <v>74</v>
      </c>
      <c r="G72" s="70"/>
      <c r="H72" s="70"/>
      <c r="I72" s="65"/>
      <c r="J72" s="65"/>
      <c r="K72" s="70"/>
    </row>
    <row r="73" spans="1:11" s="7" customFormat="1" ht="25.5" x14ac:dyDescent="0.2">
      <c r="A73" s="99" t="s">
        <v>78</v>
      </c>
      <c r="B73" s="62">
        <v>1</v>
      </c>
      <c r="C73" s="14" t="s">
        <v>78</v>
      </c>
      <c r="D73" s="63" t="s">
        <v>203</v>
      </c>
      <c r="E73" s="79" t="s">
        <v>281</v>
      </c>
      <c r="F73" s="63" t="s">
        <v>74</v>
      </c>
      <c r="G73" s="62"/>
      <c r="H73" s="62"/>
      <c r="I73" s="64"/>
      <c r="J73" s="64"/>
      <c r="K73" s="63"/>
    </row>
    <row r="74" spans="1:11" s="7" customFormat="1" ht="63.75" x14ac:dyDescent="0.2">
      <c r="A74" s="98" t="s">
        <v>74</v>
      </c>
      <c r="B74" s="69">
        <v>19</v>
      </c>
      <c r="C74" s="65" t="s">
        <v>132</v>
      </c>
      <c r="D74" s="70" t="s">
        <v>204</v>
      </c>
      <c r="E74" s="78" t="s">
        <v>282</v>
      </c>
      <c r="F74" s="70" t="s">
        <v>74</v>
      </c>
      <c r="G74" s="70"/>
      <c r="H74" s="70"/>
      <c r="I74" s="65"/>
      <c r="J74" s="65"/>
      <c r="K74" s="70"/>
    </row>
    <row r="75" spans="1:11" s="7" customFormat="1" ht="114.75" x14ac:dyDescent="0.2">
      <c r="A75" s="99" t="s">
        <v>79</v>
      </c>
      <c r="B75" s="62">
        <v>35</v>
      </c>
      <c r="C75" s="14" t="s">
        <v>79</v>
      </c>
      <c r="D75" s="63" t="s">
        <v>205</v>
      </c>
      <c r="E75" s="79" t="s">
        <v>283</v>
      </c>
      <c r="F75" s="63" t="s">
        <v>74</v>
      </c>
      <c r="G75" s="62"/>
      <c r="H75" s="62"/>
      <c r="I75" s="64"/>
      <c r="J75" s="64"/>
      <c r="K75" s="63"/>
    </row>
    <row r="76" spans="1:11" s="7" customFormat="1" ht="25.5" x14ac:dyDescent="0.2">
      <c r="A76" s="98" t="s">
        <v>80</v>
      </c>
      <c r="B76" s="69">
        <v>1</v>
      </c>
      <c r="C76" s="65" t="s">
        <v>80</v>
      </c>
      <c r="D76" s="70" t="s">
        <v>206</v>
      </c>
      <c r="E76" s="78" t="s">
        <v>284</v>
      </c>
      <c r="F76" s="70" t="s">
        <v>74</v>
      </c>
      <c r="G76" s="70"/>
      <c r="H76" s="70"/>
      <c r="I76" s="65"/>
      <c r="J76" s="65"/>
      <c r="K76" s="70"/>
    </row>
    <row r="77" spans="1:11" s="7" customFormat="1" ht="25.5" x14ac:dyDescent="0.2">
      <c r="A77" s="99" t="s">
        <v>81</v>
      </c>
      <c r="B77" s="62">
        <v>2</v>
      </c>
      <c r="C77" s="14" t="s">
        <v>81</v>
      </c>
      <c r="D77" s="63" t="s">
        <v>207</v>
      </c>
      <c r="E77" s="79" t="s">
        <v>285</v>
      </c>
      <c r="F77" s="63" t="s">
        <v>74</v>
      </c>
      <c r="G77" s="62"/>
      <c r="H77" s="62"/>
      <c r="I77" s="64"/>
      <c r="J77" s="64"/>
      <c r="K77" s="63"/>
    </row>
    <row r="78" spans="1:11" s="7" customFormat="1" ht="63.75" x14ac:dyDescent="0.2">
      <c r="A78" s="98" t="s">
        <v>82</v>
      </c>
      <c r="B78" s="69">
        <v>20</v>
      </c>
      <c r="C78" s="65" t="s">
        <v>82</v>
      </c>
      <c r="D78" s="70" t="s">
        <v>208</v>
      </c>
      <c r="E78" s="78" t="s">
        <v>286</v>
      </c>
      <c r="F78" s="70" t="s">
        <v>74</v>
      </c>
      <c r="G78" s="70"/>
      <c r="H78" s="70"/>
      <c r="I78" s="65"/>
      <c r="J78" s="65"/>
      <c r="K78" s="70"/>
    </row>
    <row r="79" spans="1:11" s="7" customFormat="1" ht="25.5" x14ac:dyDescent="0.2">
      <c r="A79" s="99" t="s">
        <v>83</v>
      </c>
      <c r="B79" s="62">
        <v>3</v>
      </c>
      <c r="C79" s="14" t="s">
        <v>83</v>
      </c>
      <c r="D79" s="63" t="s">
        <v>209</v>
      </c>
      <c r="E79" s="79" t="s">
        <v>287</v>
      </c>
      <c r="F79" s="63" t="s">
        <v>74</v>
      </c>
      <c r="G79" s="62"/>
      <c r="H79" s="62"/>
      <c r="I79" s="64"/>
      <c r="J79" s="64"/>
      <c r="K79" s="63"/>
    </row>
    <row r="80" spans="1:11" s="7" customFormat="1" ht="25.5" x14ac:dyDescent="0.2">
      <c r="A80" s="98" t="s">
        <v>84</v>
      </c>
      <c r="B80" s="69">
        <v>1</v>
      </c>
      <c r="C80" s="65" t="s">
        <v>84</v>
      </c>
      <c r="D80" s="70" t="s">
        <v>210</v>
      </c>
      <c r="E80" s="78" t="s">
        <v>288</v>
      </c>
      <c r="F80" s="70" t="s">
        <v>74</v>
      </c>
      <c r="G80" s="70"/>
      <c r="H80" s="70"/>
      <c r="I80" s="65"/>
      <c r="J80" s="65"/>
      <c r="K80" s="70"/>
    </row>
    <row r="81" spans="1:11" s="7" customFormat="1" x14ac:dyDescent="0.2">
      <c r="A81" s="99" t="s">
        <v>74</v>
      </c>
      <c r="B81" s="62">
        <v>1</v>
      </c>
      <c r="C81" s="14" t="s">
        <v>133</v>
      </c>
      <c r="D81" s="63" t="s">
        <v>211</v>
      </c>
      <c r="E81" s="79" t="s">
        <v>289</v>
      </c>
      <c r="F81" s="63" t="s">
        <v>74</v>
      </c>
      <c r="G81" s="62"/>
      <c r="H81" s="62"/>
      <c r="I81" s="64"/>
      <c r="J81" s="64"/>
      <c r="K81" s="63"/>
    </row>
    <row r="82" spans="1:11" s="7" customFormat="1" ht="38.25" x14ac:dyDescent="0.2">
      <c r="A82" s="98" t="s">
        <v>85</v>
      </c>
      <c r="B82" s="69">
        <v>10</v>
      </c>
      <c r="C82" s="65" t="s">
        <v>134</v>
      </c>
      <c r="D82" s="70" t="s">
        <v>212</v>
      </c>
      <c r="E82" s="78" t="s">
        <v>290</v>
      </c>
      <c r="F82" s="70" t="s">
        <v>330</v>
      </c>
      <c r="G82" s="70"/>
      <c r="H82" s="70"/>
      <c r="I82" s="65"/>
      <c r="J82" s="65"/>
      <c r="K82" s="70"/>
    </row>
    <row r="83" spans="1:11" s="7" customFormat="1" ht="38.25" x14ac:dyDescent="0.2">
      <c r="A83" s="99" t="s">
        <v>86</v>
      </c>
      <c r="B83" s="62">
        <v>1</v>
      </c>
      <c r="C83" s="14" t="s">
        <v>135</v>
      </c>
      <c r="D83" s="63" t="s">
        <v>213</v>
      </c>
      <c r="E83" s="79" t="s">
        <v>291</v>
      </c>
      <c r="F83" s="63" t="s">
        <v>316</v>
      </c>
      <c r="G83" s="62"/>
      <c r="H83" s="62"/>
      <c r="I83" s="64"/>
      <c r="J83" s="64"/>
      <c r="K83" s="63"/>
    </row>
    <row r="84" spans="1:11" s="7" customFormat="1" ht="25.5" x14ac:dyDescent="0.2">
      <c r="A84" s="98" t="s">
        <v>87</v>
      </c>
      <c r="B84" s="69">
        <v>1</v>
      </c>
      <c r="C84" s="65" t="s">
        <v>136</v>
      </c>
      <c r="D84" s="70" t="s">
        <v>214</v>
      </c>
      <c r="E84" s="78" t="s">
        <v>292</v>
      </c>
      <c r="F84" s="70" t="s">
        <v>306</v>
      </c>
      <c r="G84" s="70"/>
      <c r="H84" s="70"/>
      <c r="I84" s="65"/>
      <c r="J84" s="65"/>
      <c r="K84" s="70"/>
    </row>
    <row r="85" spans="1:11" s="7" customFormat="1" ht="38.25" x14ac:dyDescent="0.2">
      <c r="A85" s="99" t="s">
        <v>88</v>
      </c>
      <c r="B85" s="62">
        <v>8</v>
      </c>
      <c r="C85" s="14" t="s">
        <v>137</v>
      </c>
      <c r="D85" s="63" t="s">
        <v>215</v>
      </c>
      <c r="E85" s="79" t="s">
        <v>293</v>
      </c>
      <c r="F85" s="63" t="s">
        <v>74</v>
      </c>
      <c r="G85" s="62"/>
      <c r="H85" s="62"/>
      <c r="I85" s="64"/>
      <c r="J85" s="64"/>
      <c r="K85" s="63"/>
    </row>
    <row r="86" spans="1:11" s="7" customFormat="1" ht="25.5" x14ac:dyDescent="0.2">
      <c r="A86" s="98" t="s">
        <v>89</v>
      </c>
      <c r="B86" s="69">
        <v>1</v>
      </c>
      <c r="C86" s="65" t="s">
        <v>138</v>
      </c>
      <c r="D86" s="70" t="s">
        <v>216</v>
      </c>
      <c r="E86" s="78" t="s">
        <v>294</v>
      </c>
      <c r="F86" s="70" t="s">
        <v>331</v>
      </c>
      <c r="G86" s="70"/>
      <c r="H86" s="70"/>
      <c r="I86" s="65"/>
      <c r="J86" s="65"/>
      <c r="K86" s="70"/>
    </row>
    <row r="87" spans="1:11" s="7" customFormat="1" ht="25.5" x14ac:dyDescent="0.2">
      <c r="A87" s="99" t="s">
        <v>90</v>
      </c>
      <c r="B87" s="62">
        <v>8</v>
      </c>
      <c r="C87" s="14" t="s">
        <v>139</v>
      </c>
      <c r="D87" s="63" t="s">
        <v>217</v>
      </c>
      <c r="E87" s="79" t="s">
        <v>295</v>
      </c>
      <c r="F87" s="63" t="s">
        <v>332</v>
      </c>
      <c r="G87" s="62"/>
      <c r="H87" s="62"/>
      <c r="I87" s="64"/>
      <c r="J87" s="64"/>
      <c r="K87" s="63"/>
    </row>
    <row r="88" spans="1:11" s="7" customFormat="1" ht="38.25" x14ac:dyDescent="0.2">
      <c r="A88" s="98">
        <v>24884</v>
      </c>
      <c r="B88" s="69">
        <v>7</v>
      </c>
      <c r="C88" s="65" t="s">
        <v>140</v>
      </c>
      <c r="D88" s="70" t="s">
        <v>218</v>
      </c>
      <c r="E88" s="78" t="s">
        <v>296</v>
      </c>
      <c r="F88" s="70" t="s">
        <v>333</v>
      </c>
      <c r="G88" s="70"/>
      <c r="H88" s="70"/>
      <c r="I88" s="65"/>
      <c r="J88" s="65"/>
      <c r="K88" s="70"/>
    </row>
    <row r="89" spans="1:11" s="7" customFormat="1" ht="38.25" x14ac:dyDescent="0.2">
      <c r="A89" s="99" t="s">
        <v>91</v>
      </c>
      <c r="B89" s="62">
        <v>1</v>
      </c>
      <c r="C89" s="14" t="s">
        <v>141</v>
      </c>
      <c r="D89" s="63" t="s">
        <v>219</v>
      </c>
      <c r="E89" s="79" t="s">
        <v>297</v>
      </c>
      <c r="F89" s="63" t="s">
        <v>334</v>
      </c>
      <c r="G89" s="62"/>
      <c r="H89" s="62"/>
      <c r="I89" s="64"/>
      <c r="J89" s="64"/>
      <c r="K89" s="63"/>
    </row>
    <row r="90" spans="1:11" s="7" customFormat="1" ht="51" x14ac:dyDescent="0.2">
      <c r="A90" s="98" t="s">
        <v>92</v>
      </c>
      <c r="B90" s="69">
        <v>8</v>
      </c>
      <c r="C90" s="65" t="s">
        <v>142</v>
      </c>
      <c r="D90" s="70" t="s">
        <v>220</v>
      </c>
      <c r="E90" s="78" t="s">
        <v>298</v>
      </c>
      <c r="F90" s="70" t="s">
        <v>335</v>
      </c>
      <c r="G90" s="70"/>
      <c r="H90" s="70"/>
      <c r="I90" s="65"/>
      <c r="J90" s="65"/>
      <c r="K90" s="70"/>
    </row>
    <row r="91" spans="1:11" s="7" customFormat="1" x14ac:dyDescent="0.2">
      <c r="A91" s="99">
        <v>430181038816</v>
      </c>
      <c r="B91" s="62">
        <v>1</v>
      </c>
      <c r="C91" s="14" t="s">
        <v>143</v>
      </c>
      <c r="D91" s="63" t="s">
        <v>221</v>
      </c>
      <c r="E91" s="79" t="s">
        <v>299</v>
      </c>
      <c r="F91" s="63" t="s">
        <v>336</v>
      </c>
      <c r="G91" s="62"/>
      <c r="H91" s="62"/>
      <c r="I91" s="64"/>
      <c r="J91" s="64"/>
      <c r="K91" s="63"/>
    </row>
    <row r="92" spans="1:11" s="7" customFormat="1" ht="25.5" x14ac:dyDescent="0.2">
      <c r="A92" s="98" t="s">
        <v>93</v>
      </c>
      <c r="B92" s="69">
        <v>1</v>
      </c>
      <c r="C92" s="65" t="s">
        <v>144</v>
      </c>
      <c r="D92" s="70" t="s">
        <v>222</v>
      </c>
      <c r="E92" s="78" t="s">
        <v>300</v>
      </c>
      <c r="F92" s="70" t="s">
        <v>327</v>
      </c>
      <c r="G92" s="70"/>
      <c r="H92" s="70"/>
      <c r="I92" s="65"/>
      <c r="J92" s="65"/>
      <c r="K92" s="70"/>
    </row>
    <row r="93" spans="1:11" s="7" customFormat="1" ht="38.25" x14ac:dyDescent="0.2">
      <c r="A93" s="99" t="s">
        <v>94</v>
      </c>
      <c r="B93" s="62">
        <v>1</v>
      </c>
      <c r="C93" s="14" t="s">
        <v>145</v>
      </c>
      <c r="D93" s="63" t="s">
        <v>223</v>
      </c>
      <c r="E93" s="79" t="s">
        <v>301</v>
      </c>
      <c r="F93" s="63" t="s">
        <v>337</v>
      </c>
      <c r="G93" s="62"/>
      <c r="H93" s="62"/>
      <c r="I93" s="64"/>
      <c r="J93" s="64"/>
      <c r="K93" s="63"/>
    </row>
    <row r="94" spans="1:11" s="7" customFormat="1" x14ac:dyDescent="0.2">
      <c r="A94" s="98" t="s">
        <v>95</v>
      </c>
      <c r="B94" s="69">
        <v>3</v>
      </c>
      <c r="C94" s="65" t="s">
        <v>146</v>
      </c>
      <c r="D94" s="70" t="s">
        <v>224</v>
      </c>
      <c r="E94" s="78" t="s">
        <v>302</v>
      </c>
      <c r="F94" s="70" t="s">
        <v>315</v>
      </c>
      <c r="G94" s="70"/>
      <c r="H94" s="70"/>
      <c r="I94" s="65"/>
      <c r="J94" s="65"/>
      <c r="K94" s="70"/>
    </row>
    <row r="95" spans="1:11" s="7" customFormat="1" x14ac:dyDescent="0.2">
      <c r="A95" s="100"/>
      <c r="B95" s="67"/>
      <c r="C95" s="66"/>
      <c r="D95" s="68"/>
      <c r="E95" s="80"/>
      <c r="F95" s="77"/>
      <c r="G95" s="68"/>
      <c r="H95" s="77"/>
      <c r="I95" s="66"/>
      <c r="J95" s="66"/>
      <c r="K95" s="68"/>
    </row>
    <row r="96" spans="1:11" ht="13.5" thickBot="1" x14ac:dyDescent="0.25">
      <c r="A96" s="75">
        <f>ROWS(A18:A94)</f>
        <v>77</v>
      </c>
      <c r="B96" s="76">
        <f>SUM(B18:B94)</f>
        <v>407</v>
      </c>
      <c r="C96" s="36"/>
      <c r="D96" s="37"/>
      <c r="E96" s="37"/>
      <c r="F96" s="74"/>
      <c r="G96" s="37"/>
      <c r="I96" s="37"/>
      <c r="J96" s="37"/>
      <c r="K96" s="38"/>
    </row>
    <row r="97" spans="1:12" ht="13.5" thickBot="1" x14ac:dyDescent="0.25">
      <c r="A97" s="84" t="s">
        <v>12</v>
      </c>
      <c r="B97" s="82" t="s">
        <v>13</v>
      </c>
      <c r="H97" s="74"/>
      <c r="K97" s="73"/>
    </row>
    <row r="98" spans="1:12" x14ac:dyDescent="0.2">
      <c r="A98" s="72"/>
      <c r="H98" s="74"/>
      <c r="K98" s="73"/>
    </row>
    <row r="99" spans="1:12" customFormat="1" ht="13.7" customHeight="1" x14ac:dyDescent="0.2">
      <c r="A99" s="22" t="s">
        <v>0</v>
      </c>
      <c r="B99" s="95"/>
      <c r="C99" s="96" t="s">
        <v>1</v>
      </c>
      <c r="D99" s="95"/>
      <c r="E99" s="97"/>
      <c r="F99" s="15"/>
      <c r="G99" s="15"/>
      <c r="H99" s="15"/>
      <c r="I99" s="97"/>
      <c r="J99" s="97"/>
      <c r="K99" s="41"/>
      <c r="L99" s="15" t="s">
        <v>4</v>
      </c>
    </row>
    <row r="100" spans="1:12" customFormat="1" ht="12.95" customHeight="1" x14ac:dyDescent="0.2">
      <c r="A100" s="25"/>
      <c r="B100" s="26"/>
      <c r="C100" s="27"/>
      <c r="D100" s="26"/>
      <c r="E100" s="28"/>
      <c r="F100" s="39"/>
      <c r="G100" s="39"/>
      <c r="H100" s="39"/>
      <c r="I100" s="39"/>
      <c r="J100" s="39"/>
      <c r="K100" s="42"/>
      <c r="L100" s="16"/>
    </row>
    <row r="101" spans="1:12" customFormat="1" ht="12.95" customHeight="1" x14ac:dyDescent="0.2">
      <c r="A101" s="23"/>
      <c r="B101" s="19"/>
      <c r="C101" s="20"/>
      <c r="D101" s="19"/>
      <c r="E101" s="21"/>
      <c r="F101" s="15"/>
      <c r="G101" s="15"/>
      <c r="H101" s="15"/>
      <c r="I101" s="15"/>
      <c r="J101" s="15"/>
      <c r="K101" s="43"/>
      <c r="L101" s="16"/>
    </row>
    <row r="102" spans="1:12" customFormat="1" ht="12.95" customHeight="1" x14ac:dyDescent="0.2">
      <c r="A102" s="23"/>
      <c r="B102" s="19"/>
      <c r="C102" s="20"/>
      <c r="D102" s="19"/>
      <c r="E102" s="21"/>
      <c r="F102" s="15"/>
      <c r="G102" s="15"/>
      <c r="H102" s="15"/>
      <c r="I102" s="15"/>
      <c r="J102" s="15"/>
      <c r="K102" s="43"/>
      <c r="L102" s="16"/>
    </row>
    <row r="103" spans="1:12" customFormat="1" ht="12.95" customHeight="1" x14ac:dyDescent="0.2">
      <c r="A103" s="23"/>
      <c r="B103" s="19"/>
      <c r="C103" s="20"/>
      <c r="D103" s="19"/>
      <c r="E103" s="21"/>
      <c r="F103" s="15"/>
      <c r="G103" s="15"/>
      <c r="H103" s="15"/>
      <c r="I103" s="15"/>
      <c r="J103" s="15"/>
      <c r="K103" s="43"/>
      <c r="L103" s="16"/>
    </row>
    <row r="104" spans="1:12" customFormat="1" ht="9.75" customHeight="1" x14ac:dyDescent="0.2">
      <c r="A104" s="24"/>
      <c r="B104" s="29"/>
      <c r="C104" s="30"/>
      <c r="D104" s="29"/>
      <c r="E104" s="31"/>
      <c r="F104" s="18"/>
      <c r="G104" s="18"/>
      <c r="H104" s="18"/>
      <c r="I104" s="18"/>
      <c r="J104" s="18"/>
      <c r="K104" s="44"/>
      <c r="L104" s="16"/>
    </row>
    <row r="105" spans="1:12" customFormat="1" ht="12.95" customHeight="1" x14ac:dyDescent="0.2">
      <c r="A105" s="24"/>
      <c r="B105" s="17"/>
      <c r="C105" s="17"/>
      <c r="D105" s="17"/>
      <c r="E105" s="18"/>
      <c r="F105" s="18"/>
      <c r="G105" s="18"/>
      <c r="H105" s="18"/>
      <c r="I105" s="18"/>
      <c r="J105" s="18"/>
      <c r="K105" s="44"/>
      <c r="L105" s="16"/>
    </row>
    <row r="106" spans="1:12" customFormat="1" ht="12.95" customHeight="1" x14ac:dyDescent="0.2">
      <c r="A106" s="54"/>
      <c r="B106" s="55"/>
      <c r="C106" s="55"/>
      <c r="D106" s="55"/>
      <c r="E106" s="56"/>
      <c r="F106" s="56"/>
      <c r="G106" s="56"/>
      <c r="H106" s="56"/>
      <c r="I106" s="56"/>
      <c r="J106" s="56"/>
      <c r="K106" s="57"/>
      <c r="L106" s="16"/>
    </row>
    <row r="107" spans="1:12" customFormat="1" ht="12.95" customHeight="1" x14ac:dyDescent="0.2">
      <c r="A107" s="58"/>
      <c r="B107" s="59"/>
      <c r="C107" s="59"/>
      <c r="D107" s="59"/>
      <c r="E107" s="60"/>
      <c r="F107" s="60"/>
      <c r="G107" s="60"/>
      <c r="H107" s="60"/>
      <c r="I107" s="60"/>
      <c r="J107" s="60"/>
      <c r="K107" s="61"/>
      <c r="L107" s="16"/>
    </row>
  </sheetData>
  <phoneticPr fontId="0" type="noConversion"/>
  <pageMargins left="0.47244094488188981" right="0.35433070866141736" top="0.59055118110236227" bottom="0.98425196850393704" header="0.51181102362204722" footer="0.51181102362204722"/>
  <pageSetup paperSize="9" scale="49" orientation="landscape" horizontalDpi="200" verticalDpi="200" r:id="rId1"/>
  <headerFooter alignWithMargins="0">
    <oddFooter>&amp;L&amp;"Arial,Bold"Krakul Limited Confidential&amp;C&amp;D&amp;RPage &amp;P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DZD65U25AH7W-1291113271-26370</_dlc_DocId>
    <_dlc_DocIdUrl xmlns="34700147-afba-4891-810a-c484e8dc8ebf">
      <Url>https://defsecintel.sharepoint.com/sites/Documentationsite/_layouts/15/DocIdRedir.aspx?ID=DZD65U25AH7W-1291113271-26370</Url>
      <Description>DZD65U25AH7W-1291113271-26370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A77F0F0-0556-4692-9564-4CFAADD30866}"/>
</file>

<file path=customXml/itemProps2.xml><?xml version="1.0" encoding="utf-8"?>
<ds:datastoreItem xmlns:ds="http://schemas.openxmlformats.org/officeDocument/2006/customXml" ds:itemID="{D56A00E1-34FA-4F28-883F-8CFDB76D2CC9}"/>
</file>

<file path=customXml/itemProps3.xml><?xml version="1.0" encoding="utf-8"?>
<ds:datastoreItem xmlns:ds="http://schemas.openxmlformats.org/officeDocument/2006/customXml" ds:itemID="{60D335F0-318F-4313-BEA6-72EFDA4F977B}"/>
</file>

<file path=customXml/itemProps4.xml><?xml version="1.0" encoding="utf-8"?>
<ds:datastoreItem xmlns:ds="http://schemas.openxmlformats.org/officeDocument/2006/customXml" ds:itemID="{7886672E-6AF3-467D-BED7-FEB7ED349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 Report</vt:lpstr>
      <vt:lpstr>'BOM Report'!Print_Titles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Endrik</dc:creator>
  <cp:lastModifiedBy>Indrek Keskküla</cp:lastModifiedBy>
  <cp:lastPrinted>2024-02-07T13:54:56Z</cp:lastPrinted>
  <dcterms:created xsi:type="dcterms:W3CDTF">2000-10-27T00:30:29Z</dcterms:created>
  <dcterms:modified xsi:type="dcterms:W3CDTF">2024-12-20T13:21:45Z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879e478c-0701-4782-887b-2753278a747c</vt:lpwstr>
  </property>
</Properties>
</file>