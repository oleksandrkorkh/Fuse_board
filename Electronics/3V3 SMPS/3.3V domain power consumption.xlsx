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3V3 SMPS/"/>
    </mc:Choice>
  </mc:AlternateContent>
  <xr:revisionPtr revIDLastSave="67" documentId="11_4281504833DBCAB78A2F18ADB965BD2AD0144D0C" xr6:coauthVersionLast="47" xr6:coauthVersionMax="47" xr10:uidLastSave="{2A915259-61B2-4944-920C-BED3181EE80F}"/>
  <bookViews>
    <workbookView xWindow="58380" yWindow="780" windowWidth="43200" windowHeight="235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B10" i="1"/>
</calcChain>
</file>

<file path=xl/sharedStrings.xml><?xml version="1.0" encoding="utf-8"?>
<sst xmlns="http://schemas.openxmlformats.org/spreadsheetml/2006/main" count="32" uniqueCount="31">
  <si>
    <t>RS485</t>
  </si>
  <si>
    <t>MAX[mA]</t>
  </si>
  <si>
    <t>MCU</t>
  </si>
  <si>
    <t>Ethernet Phy</t>
  </si>
  <si>
    <t>Current measurement</t>
  </si>
  <si>
    <t>8 devices 10,5 mA maximum</t>
  </si>
  <si>
    <t>Total</t>
  </si>
  <si>
    <t>mA</t>
  </si>
  <si>
    <t>1 A regulator is enough</t>
  </si>
  <si>
    <t>Load</t>
  </si>
  <si>
    <t>Notes</t>
  </si>
  <si>
    <t>Vout</t>
  </si>
  <si>
    <t>Cout</t>
  </si>
  <si>
    <t>MCU VDDA</t>
  </si>
  <si>
    <t>150 - 200 mA is ok</t>
  </si>
  <si>
    <t>Analog mux</t>
  </si>
  <si>
    <t>LDO  [mA]</t>
  </si>
  <si>
    <t>Feedtrough capacitors for analog switch control lines</t>
  </si>
  <si>
    <t>SMPS frequency</t>
  </si>
  <si>
    <t>NFM18CC222R1C3D Murata Electronics | Mouser Estonia</t>
  </si>
  <si>
    <t>3.3V Output</t>
  </si>
  <si>
    <t xml:space="preserve">Light load </t>
  </si>
  <si>
    <t>Period</t>
  </si>
  <si>
    <t>Hz</t>
  </si>
  <si>
    <t>Only some kHz</t>
  </si>
  <si>
    <t>Feedtrogh capacitor does nothing. Skip</t>
  </si>
  <si>
    <t>This one in Krakul library</t>
  </si>
  <si>
    <t>Name</t>
  </si>
  <si>
    <t>Value</t>
  </si>
  <si>
    <t>Part number</t>
  </si>
  <si>
    <t>MIC5504-3.3YM5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</si>
</sst>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152400</xdr:rowOff>
    </xdr:from>
    <xdr:to>
      <xdr:col>18</xdr:col>
      <xdr:colOff>124693</xdr:colOff>
      <xdr:row>33</xdr:row>
      <xdr:rowOff>143459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466E3-53B7-6324-F9FB-49CF78073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0" y="2247900"/>
          <a:ext cx="6220693" cy="4182059"/>
        </a:xfrm>
        <a:prstGeom prst="rect">
          <a:avLst/>
        </a:prstGeom>
      </xdr:spPr>
    </xdr:pic>
    <xdr:clientData/>
  </xdr:twoCellAnchor>
  <xdr:twoCellAnchor editAs="oneCell">
    <xdr:from>
      <xdr:col>17</xdr:col>
      <xdr:colOff>487681</xdr:colOff>
      <xdr:row>1</xdr:row>
      <xdr:rowOff>60960</xdr:rowOff>
    </xdr:from>
    <xdr:to>
      <xdr:col>26</xdr:col>
      <xdr:colOff>297181</xdr:colOff>
      <xdr:row>25</xdr:row>
      <xdr:rowOff>85090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E3DF1A-309A-162E-629E-2043FB033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22681" y="243840"/>
          <a:ext cx="5295900" cy="44132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31</xdr:col>
      <xdr:colOff>304800</xdr:colOff>
      <xdr:row>53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A89E9E-B0E6-6308-D556-DD539BAAE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54200" y="5120640"/>
          <a:ext cx="7620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ouser.ee/ProductDetail/Murata-Electronics/NFM18CC222R1C3D?qs=s6ARpXo6tuq4Pwfcr30BU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49"/>
  <sheetViews>
    <sheetView tabSelected="1" workbookViewId="0">
      <selection activeCell="I49" sqref="I49"/>
    </sheetView>
  </sheetViews>
  <sheetFormatPr defaultRowHeight="15" x14ac:dyDescent="0.25"/>
  <cols>
    <col min="1" max="1" width="22.140625" customWidth="1"/>
    <col min="3" max="3" width="27.5703125" customWidth="1"/>
    <col min="8" max="8" width="20.28515625" customWidth="1"/>
  </cols>
  <sheetData>
    <row r="3" spans="1:9" x14ac:dyDescent="0.25">
      <c r="I3" t="s">
        <v>16</v>
      </c>
    </row>
    <row r="4" spans="1:9" x14ac:dyDescent="0.25">
      <c r="A4" s="1" t="s">
        <v>9</v>
      </c>
      <c r="B4" s="1" t="s">
        <v>1</v>
      </c>
      <c r="C4" s="1" t="s">
        <v>10</v>
      </c>
    </row>
    <row r="5" spans="1:9" x14ac:dyDescent="0.25">
      <c r="A5" s="2" t="s">
        <v>0</v>
      </c>
      <c r="B5" s="2">
        <v>83.5</v>
      </c>
      <c r="C5" s="2"/>
      <c r="H5" t="s">
        <v>4</v>
      </c>
      <c r="I5">
        <v>84</v>
      </c>
    </row>
    <row r="6" spans="1:9" x14ac:dyDescent="0.25">
      <c r="A6" s="2" t="s">
        <v>2</v>
      </c>
      <c r="B6" s="2">
        <v>203</v>
      </c>
      <c r="C6" s="2"/>
      <c r="H6" t="s">
        <v>13</v>
      </c>
      <c r="I6">
        <v>1</v>
      </c>
    </row>
    <row r="7" spans="1:9" x14ac:dyDescent="0.25">
      <c r="A7" s="2" t="s">
        <v>3</v>
      </c>
      <c r="B7" s="2">
        <v>129</v>
      </c>
      <c r="C7" s="2"/>
      <c r="H7" t="s">
        <v>15</v>
      </c>
      <c r="I7">
        <v>3.0000000000000001E-3</v>
      </c>
    </row>
    <row r="8" spans="1:9" x14ac:dyDescent="0.25">
      <c r="A8" s="2" t="s">
        <v>4</v>
      </c>
      <c r="B8" s="2">
        <v>84</v>
      </c>
      <c r="C8" s="2" t="s">
        <v>5</v>
      </c>
      <c r="H8" t="s">
        <v>14</v>
      </c>
    </row>
    <row r="9" spans="1:9" x14ac:dyDescent="0.25">
      <c r="A9" s="2"/>
      <c r="B9" s="2"/>
      <c r="C9" s="2"/>
    </row>
    <row r="10" spans="1:9" x14ac:dyDescent="0.25">
      <c r="A10" s="1" t="s">
        <v>6</v>
      </c>
      <c r="B10" s="1">
        <f>SUM(B5:B8)</f>
        <v>499.5</v>
      </c>
      <c r="C10" s="1" t="s">
        <v>7</v>
      </c>
    </row>
    <row r="11" spans="1:9" x14ac:dyDescent="0.25">
      <c r="H11" t="s">
        <v>17</v>
      </c>
    </row>
    <row r="12" spans="1:9" x14ac:dyDescent="0.25">
      <c r="A12" t="s">
        <v>8</v>
      </c>
    </row>
    <row r="13" spans="1:9" x14ac:dyDescent="0.25">
      <c r="H13" t="s">
        <v>18</v>
      </c>
    </row>
    <row r="24" spans="1:20" x14ac:dyDescent="0.25">
      <c r="A24" t="s">
        <v>11</v>
      </c>
      <c r="B24">
        <v>3.3</v>
      </c>
    </row>
    <row r="25" spans="1:20" x14ac:dyDescent="0.25">
      <c r="A25" t="s">
        <v>12</v>
      </c>
    </row>
    <row r="28" spans="1:20" x14ac:dyDescent="0.25">
      <c r="T28" t="s">
        <v>20</v>
      </c>
    </row>
    <row r="35" spans="8:9" x14ac:dyDescent="0.25">
      <c r="H35" s="3" t="s">
        <v>19</v>
      </c>
    </row>
    <row r="37" spans="8:9" x14ac:dyDescent="0.25">
      <c r="H37" t="s">
        <v>21</v>
      </c>
    </row>
    <row r="39" spans="8:9" x14ac:dyDescent="0.25">
      <c r="H39" t="s">
        <v>22</v>
      </c>
    </row>
    <row r="40" spans="8:9" x14ac:dyDescent="0.25">
      <c r="H40">
        <f>1/0.00000616</f>
        <v>162337.66233766233</v>
      </c>
      <c r="I40" t="s">
        <v>23</v>
      </c>
    </row>
    <row r="42" spans="8:9" x14ac:dyDescent="0.25">
      <c r="H42" t="s">
        <v>24</v>
      </c>
      <c r="I42" t="s">
        <v>25</v>
      </c>
    </row>
    <row r="47" spans="8:9" x14ac:dyDescent="0.25">
      <c r="H47" t="s">
        <v>26</v>
      </c>
    </row>
    <row r="48" spans="8:9" x14ac:dyDescent="0.25">
      <c r="H48" t="s">
        <v>27</v>
      </c>
      <c r="I48" t="s">
        <v>28</v>
      </c>
    </row>
    <row r="49" spans="8:9" x14ac:dyDescent="0.25">
      <c r="H49" t="s">
        <v>29</v>
      </c>
      <c r="I49" t="s">
        <v>30</v>
      </c>
    </row>
  </sheetData>
  <hyperlinks>
    <hyperlink ref="H35" r:id="rId1" display="https://www.mouser.ee/ProductDetail/Murata-Electronics/NFM18CC222R1C3D?qs=s6ARpXo6tuq4Pwfcr30BUw%3D%3D" xr:uid="{5BFC4D70-BC2E-468A-BF1A-FC2E805A9F1D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DZD65U25AH7W-1291113271-25902</_dlc_DocId>
    <_dlc_DocIdUrl xmlns="34700147-afba-4891-810a-c484e8dc8ebf">
      <Url>https://defsecintel.sharepoint.com/sites/Documentationsite/_layouts/15/DocIdRedir.aspx?ID=DZD65U25AH7W-1291113271-25902</Url>
      <Description>DZD65U25AH7W-1291113271-25902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41F6DB4-D430-4A1C-A429-86DA4B309878}"/>
</file>

<file path=customXml/itemProps2.xml><?xml version="1.0" encoding="utf-8"?>
<ds:datastoreItem xmlns:ds="http://schemas.openxmlformats.org/officeDocument/2006/customXml" ds:itemID="{828A6ADD-2166-4DA5-9BC6-A2A0D8137148}">
  <ds:schemaRefs>
    <ds:schemaRef ds:uri="http://schemas.microsoft.com/office/2006/metadata/properties"/>
    <ds:schemaRef ds:uri="http://schemas.microsoft.com/office/infopath/2007/PartnerControls"/>
    <ds:schemaRef ds:uri="24628490-63fe-4a78-9861-31f2a70fc639"/>
    <ds:schemaRef ds:uri="80215b66-39ab-4073-9c50-ba98db366a00"/>
  </ds:schemaRefs>
</ds:datastoreItem>
</file>

<file path=customXml/itemProps3.xml><?xml version="1.0" encoding="utf-8"?>
<ds:datastoreItem xmlns:ds="http://schemas.openxmlformats.org/officeDocument/2006/customXml" ds:itemID="{18C73062-CC2F-4CD4-8AF2-F6FAB75A93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FC4CD9-0175-4208-A70D-2B5CD8993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Kaarel Koppel</cp:lastModifiedBy>
  <dcterms:created xsi:type="dcterms:W3CDTF">2015-06-05T18:17:20Z</dcterms:created>
  <dcterms:modified xsi:type="dcterms:W3CDTF">2024-10-30T14:14:27Z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MediaServiceImageTags">
    <vt:lpwstr/>
  </property>
  <property fmtid="{D5CDD505-2E9C-101B-9397-08002B2CF9AE}" pid="4" name="_dlc_DocIdItemGuid">
    <vt:lpwstr>4f054b22-cc65-4903-8200-4eecf09f620b</vt:lpwstr>
  </property>
</Properties>
</file>