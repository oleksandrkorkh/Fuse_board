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Power output/"/>
    </mc:Choice>
  </mc:AlternateContent>
  <xr:revisionPtr revIDLastSave="75" documentId="13_ncr:1_{C96AACE8-DA39-48A6-BE6F-0CDC4B514F7C}" xr6:coauthVersionLast="47" xr6:coauthVersionMax="47" xr10:uidLastSave="{CBF9F95A-2C2A-433C-B066-FBCB3CC1426C}"/>
  <bookViews>
    <workbookView xWindow="10695" yWindow="4575" windowWidth="34485" windowHeight="22170" activeTab="1" xr2:uid="{00000000-000D-0000-FFFF-FFFF00000000}"/>
  </bookViews>
  <sheets>
    <sheet name="Sheet1" sheetId="1" r:id="rId1"/>
    <sheet name="PCB relay" sheetId="2" r:id="rId2"/>
    <sheet name="Terminal blo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" l="1"/>
  <c r="B35" i="2"/>
  <c r="B33" i="2"/>
  <c r="N57" i="1"/>
  <c r="AA57" i="1"/>
  <c r="N56" i="1"/>
</calcChain>
</file>

<file path=xl/sharedStrings.xml><?xml version="1.0" encoding="utf-8"?>
<sst xmlns="http://schemas.openxmlformats.org/spreadsheetml/2006/main" count="67" uniqueCount="65">
  <si>
    <t>Relay</t>
  </si>
  <si>
    <t>https://ee.farnell.com/omron-electronic-components/p2r-05p/socket-pcb-g2r-3r-relay/dp/9945415?st=relay%20socket</t>
  </si>
  <si>
    <t>V23074A2002A403-EV-CBOX - Te Connectivity - Automotive Relay, 24 VDC, 30 A (farnell.com)</t>
  </si>
  <si>
    <t>Fuse</t>
  </si>
  <si>
    <t>MCCQ-122 - Multicomp Pro - Fuseholder, PCB Mount, Automotive (farnell.com)</t>
  </si>
  <si>
    <t>Automotive relay rating seem low</t>
  </si>
  <si>
    <t>27V</t>
  </si>
  <si>
    <t>1,4 x rated voltage on ok</t>
  </si>
  <si>
    <t>24V releel 33,4V</t>
  </si>
  <si>
    <t>Otsi dokumendist "limiting voltage"</t>
  </si>
  <si>
    <t>DDEController (te.com)</t>
  </si>
  <si>
    <t>VCFM-1000 - Te Connectivity - Relay Socket, Through Hole, Solder (farnell.com)</t>
  </si>
  <si>
    <t>Connector for power</t>
  </si>
  <si>
    <t>5-1437657-7 - Buchanan - Te Connectivity - PCB Mount Barrier Terminal Block, 11.13 mm, 1 Row (farnell.com)</t>
  </si>
  <si>
    <t xml:space="preserve">With diode </t>
  </si>
  <si>
    <t>Use V23074-A1002-A403</t>
  </si>
  <si>
    <t>General purpose relays: https://www.mouser.ee/c/electromechanical/relays-contactors-solenoids/general-purpose-relays/?coil%20voltage=24%20V~~26.5%20VDC&amp;contact%20current%20rating=20%20A~~40%20A&amp;mounting%20style=PCB%20Mount%7C~SMD%2FSMT%7C~Through%20Hole&amp;relay%20contact%20form=1%20Form%20C%20%28SPDT%29~~1%20Form%20C%20%28SPST-NO%2C%20NC%29&amp;rp=electromechanical%2Frelays-contactors-solenoids%2Fgeneral-purpose-relays%7C~Relay%20Contact%20Form%7C~Coil%20Voltage%7C~Contact%20Current%20Rating</t>
  </si>
  <si>
    <t xml:space="preserve">There are limited number of PCB mounted 24V relays available that have sufficient current ratings </t>
  </si>
  <si>
    <t>T9GV5L14-24 : Potter &amp; Brumfield PCB Power Relay: 30 amp, Monostable DC | TE Connectivity</t>
  </si>
  <si>
    <t>This is one</t>
  </si>
  <si>
    <t>G5LE-1-E DC24 Omron Electronics Inc-EMC Div | Relays | DigiKey</t>
  </si>
  <si>
    <t>Coil voltage to low for 32V operation. No overhead for short circuit currents (I-max = 16V)</t>
  </si>
  <si>
    <t>J1071CS3VDC.36 CIT Relay and Switch | Relays | DigiKey</t>
  </si>
  <si>
    <t>3V coil. Current rating low, but should be tested</t>
  </si>
  <si>
    <t>https://www.digikey.ee/en/products/detail/cit-relay-and-switch/J107F1CS203VDC-80/14001947</t>
  </si>
  <si>
    <t>Better current rating, but coil current too high ~ 270 mA</t>
  </si>
  <si>
    <t xml:space="preserve">&lt;-- </t>
  </si>
  <si>
    <t>Go with this but test before first prototype.</t>
  </si>
  <si>
    <t>Available only at digikey</t>
  </si>
  <si>
    <t>J1071CS3VDC.36</t>
  </si>
  <si>
    <t>DGPS2.5R-5.0-02P</t>
  </si>
  <si>
    <t>Current rating low</t>
  </si>
  <si>
    <t>10mm2 cross area requirement. AWG 8</t>
  </si>
  <si>
    <t>Cross section area must be up to 2,5mm2</t>
  </si>
  <si>
    <t>Current up to 15A.</t>
  </si>
  <si>
    <t xml:space="preserve">2,5mm2 </t>
  </si>
  <si>
    <t>~</t>
  </si>
  <si>
    <t>13AWG</t>
  </si>
  <si>
    <t>0,5mm2</t>
  </si>
  <si>
    <t>20AWG</t>
  </si>
  <si>
    <t>Truly only one option pops out</t>
  </si>
  <si>
    <t>1986711-2 TE Connectivity AMP Connectors | Connectors, Interconnects | DigiKey</t>
  </si>
  <si>
    <t xml:space="preserve"> </t>
  </si>
  <si>
    <t>But no. Is ok</t>
  </si>
  <si>
    <t>Except the lower cross section area</t>
  </si>
  <si>
    <t>Is ok</t>
  </si>
  <si>
    <t>J1071CS5VDC.36</t>
  </si>
  <si>
    <t>This fails when the current at the time of turn-off exceeds 5A</t>
  </si>
  <si>
    <t>22uF and 0,1 Ω snubber in parallel with the load allowd for 10A switching</t>
  </si>
  <si>
    <t>I</t>
  </si>
  <si>
    <t>A</t>
  </si>
  <si>
    <t>C</t>
  </si>
  <si>
    <t>uF</t>
  </si>
  <si>
    <t>E0</t>
  </si>
  <si>
    <t>V</t>
  </si>
  <si>
    <t>R</t>
  </si>
  <si>
    <t>Ω</t>
  </si>
  <si>
    <t>J1071CS5VDC.36 CIT Relay and Switch | Relays | DigiKey</t>
  </si>
  <si>
    <t>Alternative</t>
  </si>
  <si>
    <t>J107F1CS205VDC.45</t>
  </si>
  <si>
    <t>1200 W</t>
  </si>
  <si>
    <t>50A</t>
  </si>
  <si>
    <t>4713-GMC31X5R336M25NTCT-ND</t>
  </si>
  <si>
    <t>WSLP-.05CT-ND</t>
  </si>
  <si>
    <t>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</si>
</sst>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121920</xdr:rowOff>
    </xdr:from>
    <xdr:to>
      <xdr:col>4</xdr:col>
      <xdr:colOff>438546</xdr:colOff>
      <xdr:row>23</xdr:row>
      <xdr:rowOff>7987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5B8D0-2915-4B80-AEBC-C5E4F9BE4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645920"/>
          <a:ext cx="2838846" cy="27435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219075</xdr:colOff>
      <xdr:row>49</xdr:row>
      <xdr:rowOff>138764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5CC028-2333-DFB7-4BE4-EED5EEBA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3876675" cy="3758264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</xdr:row>
      <xdr:rowOff>161925</xdr:rowOff>
    </xdr:from>
    <xdr:to>
      <xdr:col>18</xdr:col>
      <xdr:colOff>257693</xdr:colOff>
      <xdr:row>25</xdr:row>
      <xdr:rowOff>29088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C49254-26F3-3F85-7D11-CA794547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15225" y="1114425"/>
          <a:ext cx="3715268" cy="3677163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6</xdr:row>
      <xdr:rowOff>38100</xdr:rowOff>
    </xdr:from>
    <xdr:to>
      <xdr:col>27</xdr:col>
      <xdr:colOff>296018</xdr:colOff>
      <xdr:row>24</xdr:row>
      <xdr:rowOff>86210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845FDD-804B-FB76-2DFE-5D7C8B076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0" y="1181100"/>
          <a:ext cx="5325218" cy="3477110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30</xdr:row>
      <xdr:rowOff>0</xdr:rowOff>
    </xdr:from>
    <xdr:to>
      <xdr:col>23</xdr:col>
      <xdr:colOff>303840</xdr:colOff>
      <xdr:row>54</xdr:row>
      <xdr:rowOff>2518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E67752-645C-76D3-858F-B0A37A0CD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51420" y="5486400"/>
          <a:ext cx="6773220" cy="4391638"/>
        </a:xfrm>
        <a:prstGeom prst="rect">
          <a:avLst/>
        </a:prstGeom>
      </xdr:spPr>
    </xdr:pic>
    <xdr:clientData/>
  </xdr:twoCellAnchor>
  <xdr:twoCellAnchor editAs="oneCell">
    <xdr:from>
      <xdr:col>14</xdr:col>
      <xdr:colOff>594360</xdr:colOff>
      <xdr:row>54</xdr:row>
      <xdr:rowOff>76200</xdr:rowOff>
    </xdr:from>
    <xdr:to>
      <xdr:col>23</xdr:col>
      <xdr:colOff>109283</xdr:colOff>
      <xdr:row>70</xdr:row>
      <xdr:rowOff>17545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B5C51C-07A9-25E4-75EA-E2937CC76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28760" y="9951720"/>
          <a:ext cx="5001323" cy="2867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403860</xdr:colOff>
      <xdr:row>24</xdr:row>
      <xdr:rowOff>53340</xdr:rowOff>
    </xdr:from>
    <xdr:to>
      <xdr:col>23</xdr:col>
      <xdr:colOff>607839</xdr:colOff>
      <xdr:row>51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6D22A-6BB5-400F-A7BF-89D342B9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0" y="4442460"/>
          <a:ext cx="7519179" cy="502158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23</xdr:col>
      <xdr:colOff>515443</xdr:colOff>
      <xdr:row>81</xdr:row>
      <xdr:rowOff>147420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E92ED-91E1-458C-8A55-407C72BE2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692640"/>
          <a:ext cx="7830643" cy="5268060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27</xdr:row>
      <xdr:rowOff>0</xdr:rowOff>
    </xdr:from>
    <xdr:to>
      <xdr:col>35</xdr:col>
      <xdr:colOff>57993</xdr:colOff>
      <xdr:row>34</xdr:row>
      <xdr:rowOff>129737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97D374-3A5C-14D4-EDA2-F0F583057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54300" y="4937760"/>
          <a:ext cx="6039693" cy="1409897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571500</xdr:colOff>
      <xdr:row>35</xdr:row>
      <xdr:rowOff>83820</xdr:rowOff>
    </xdr:from>
    <xdr:to>
      <xdr:col>33</xdr:col>
      <xdr:colOff>210265</xdr:colOff>
      <xdr:row>43</xdr:row>
      <xdr:rowOff>106887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1685AD-FCD8-E5FB-9C42-BCF7E07B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01900" y="6484620"/>
          <a:ext cx="5125165" cy="14861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5</xdr:row>
      <xdr:rowOff>1</xdr:rowOff>
    </xdr:from>
    <xdr:to>
      <xdr:col>21</xdr:col>
      <xdr:colOff>19051</xdr:colOff>
      <xdr:row>16</xdr:row>
      <xdr:rowOff>42997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B7BB0-0E7E-6D3E-6372-B092B4D5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1" y="952501"/>
          <a:ext cx="7334250" cy="213849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21</xdr:col>
      <xdr:colOff>47625</xdr:colOff>
      <xdr:row>35</xdr:row>
      <xdr:rowOff>137244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ED02A1-1DC9-F533-1CDE-37B9FC405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238500"/>
          <a:ext cx="7362825" cy="3566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e.farnell.com/multicomp/mccq-122/fuseholder-pcb-mount-mini-blade/dp/1586595?st=automotive%20fuse%20holder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ee.farnell.com/te-connectivity/v23074a2002a403-ev-cbox/automotive-relay-spdt-30a-24v/dp/2783747" TargetMode="External"/><Relationship Id="rId1" Type="http://schemas.openxmlformats.org/officeDocument/2006/relationships/hyperlink" Target="https://ee.farnell.com/omron-electronic-components/p2r-05p/socket-pcb-g2r-3r-relay/dp/9945415?st=relay%20socket" TargetMode="External"/><Relationship Id="rId6" Type="http://schemas.openxmlformats.org/officeDocument/2006/relationships/hyperlink" Target="https://ee.farnell.com/te-connectivity-buchanan/5-1437657-7/terminal-block-barrier-2pos-10awg/dp/3399492" TargetMode="External"/><Relationship Id="rId5" Type="http://schemas.openxmlformats.org/officeDocument/2006/relationships/hyperlink" Target="https://ee.farnell.com/te-connectivity/vcfm-1000/relay-socket-5-pos-tht/dp/3133659?st=1393310-2" TargetMode="External"/><Relationship Id="rId4" Type="http://schemas.openxmlformats.org/officeDocument/2006/relationships/hyperlink" Target="https://www.te.com/commerce/DocumentDelivery/DDEController?Action=showdoc&amp;DocId=Specification+Or+Standard%7FDefinitions_Relays%7F2%7Fpdf%7FEnglish%7FENG_SS_Definitions_Relays_2.pdf%7F6-1393292-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www.digikey.ee/en/products/detail/cit-relay-and-switch/J1071CS3VDC-36/1873461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ee/en/products/detail/omron-electronics-inc-emc-div/G5LE-1-E-DC24/1277877" TargetMode="External"/><Relationship Id="rId1" Type="http://schemas.openxmlformats.org/officeDocument/2006/relationships/hyperlink" Target="https://www.te.com/usa-en/product-1558660-7.html" TargetMode="External"/><Relationship Id="rId6" Type="http://schemas.openxmlformats.org/officeDocument/2006/relationships/hyperlink" Target="https://www.digikey.com/en/products/detail/cit-relay-and-switch/J107F1CS205VDC-45/14000915" TargetMode="External"/><Relationship Id="rId5" Type="http://schemas.openxmlformats.org/officeDocument/2006/relationships/hyperlink" Target="https://www.digikey.com/en/products/detail/cit-relay-and-switch/J1071CS5VDC-36/18734609" TargetMode="External"/><Relationship Id="rId4" Type="http://schemas.openxmlformats.org/officeDocument/2006/relationships/hyperlink" Target="https://www.digikey.ee/en/products/detail/cit-relay-and-switch/J107F1CS203VDC-80/1400194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digikey.ee/en/products/detail/te-connectivity-amp-connectors/1986711-2/3189857?s=N4IgjCBcoGwJxVAYygMwIYBsDOBTANCAPZQDaIALGGABxwDsIAuoQA4AuUIAyuwE4BLAHYBzEAF9C9GohApIGHAWJkQNCnDgAmZm06Qe-YWMlqE0OWix5CJSOTABmelV0gOXXoNETCNAAw6FvKKNir2II4ArDBgFDos7vqG3iaEYP70UbIh1sp2DlpOWjBuHgZexr7gFDSMwVZKtqqOcGBRTiCEFP7%2BMFEy3b39pUN9Udlj-Ql6nkY%2BpmBwdDmNYQUg-symRROrCnnNEe0ABACCXeAw52XJAKpCAuwA8qgAsrjo2ACufLjVRRgMgaBya4Qcty4AEkhOxcCJcHwJKZShYBAATLgAWgyEFmBku7AAnqx-gYvihxOI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workbookViewId="0">
      <selection activeCell="M4" sqref="M4"/>
    </sheetView>
  </sheetViews>
  <sheetFormatPr defaultRowHeight="15" x14ac:dyDescent="0.25"/>
  <sheetData>
    <row r="1" spans="1:15" x14ac:dyDescent="0.25">
      <c r="A1" t="s">
        <v>0</v>
      </c>
      <c r="O1" t="s">
        <v>12</v>
      </c>
    </row>
    <row r="2" spans="1:15" x14ac:dyDescent="0.25">
      <c r="O2" s="1" t="s">
        <v>13</v>
      </c>
    </row>
    <row r="3" spans="1:15" x14ac:dyDescent="0.25">
      <c r="A3" s="1" t="s">
        <v>1</v>
      </c>
    </row>
    <row r="4" spans="1:15" x14ac:dyDescent="0.25">
      <c r="A4" s="1" t="s">
        <v>2</v>
      </c>
      <c r="K4" t="s">
        <v>14</v>
      </c>
      <c r="M4" t="s">
        <v>15</v>
      </c>
    </row>
    <row r="5" spans="1:15" x14ac:dyDescent="0.25">
      <c r="A5" s="1" t="s">
        <v>11</v>
      </c>
    </row>
    <row r="7" spans="1:15" x14ac:dyDescent="0.25">
      <c r="A7" t="s">
        <v>3</v>
      </c>
    </row>
    <row r="8" spans="1:15" x14ac:dyDescent="0.25">
      <c r="A8" s="1" t="s">
        <v>4</v>
      </c>
    </row>
    <row r="27" spans="1:9" x14ac:dyDescent="0.25">
      <c r="A27" t="s">
        <v>5</v>
      </c>
      <c r="E27" t="s">
        <v>6</v>
      </c>
    </row>
    <row r="29" spans="1:9" x14ac:dyDescent="0.25">
      <c r="A29" t="s">
        <v>7</v>
      </c>
      <c r="E29" t="s">
        <v>9</v>
      </c>
      <c r="I29" s="1" t="s">
        <v>10</v>
      </c>
    </row>
    <row r="30" spans="1:9" x14ac:dyDescent="0.25">
      <c r="A30" t="s">
        <v>8</v>
      </c>
    </row>
    <row r="56" spans="14:27" x14ac:dyDescent="0.25">
      <c r="N56">
        <f>3.7+(4.3/2)</f>
        <v>5.85</v>
      </c>
    </row>
    <row r="57" spans="14:27" x14ac:dyDescent="0.25">
      <c r="N57">
        <f>4.3/2</f>
        <v>2.15</v>
      </c>
      <c r="AA57">
        <f>14.7/2</f>
        <v>7.35</v>
      </c>
    </row>
  </sheetData>
  <hyperlinks>
    <hyperlink ref="A3" r:id="rId1" xr:uid="{986849E7-A1BD-4FCC-B514-BC34E6EA3882}"/>
    <hyperlink ref="A4" r:id="rId2" display="https://ee.farnell.com/te-connectivity/v23074a2002a403-ev-cbox/automotive-relay-spdt-30a-24v/dp/2783747" xr:uid="{C00794FE-5025-44BC-821F-72BD48CE8E87}"/>
    <hyperlink ref="A8" r:id="rId3" display="https://ee.farnell.com/multicomp/mccq-122/fuseholder-pcb-mount-mini-blade/dp/1586595?st=automotive%20fuse%20holder" xr:uid="{D12270A3-12B1-41B8-ADF1-D4379317AB08}"/>
    <hyperlink ref="I29" r:id="rId4" display="https://www.te.com/commerce/DocumentDelivery/DDEController?Action=showdoc&amp;DocId=Specification+Or+Standard%7FDefinitions_Relays%7F2%7Fpdf%7FEnglish%7FENG_SS_Definitions_Relays_2.pdf%7F6-1393292-3" xr:uid="{149D4720-0CDE-4245-9E45-D278C75D9C3E}"/>
    <hyperlink ref="A5" r:id="rId5" display="https://ee.farnell.com/te-connectivity/vcfm-1000/relay-socket-5-pos-tht/dp/3133659?st=1393310-2" xr:uid="{F9BE4B6C-65A2-4CD8-BFE8-088C59FF54FD}"/>
    <hyperlink ref="O2" r:id="rId6" display="https://ee.farnell.com/te-connectivity-buchanan/5-1437657-7/terminal-block-barrier-2pos-10awg/dp/3399492" xr:uid="{413A52BA-555A-4370-B034-9BA7A457E4FF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968F-67F5-4827-BFD3-79C6F0F84C32}">
  <dimension ref="A1:Z54"/>
  <sheetViews>
    <sheetView tabSelected="1" workbookViewId="0">
      <selection activeCell="B38" sqref="B38"/>
    </sheetView>
  </sheetViews>
  <sheetFormatPr defaultRowHeight="15" x14ac:dyDescent="0.25"/>
  <sheetData>
    <row r="1" spans="1:13" x14ac:dyDescent="0.25">
      <c r="A1" t="s">
        <v>16</v>
      </c>
    </row>
    <row r="4" spans="1:13" x14ac:dyDescent="0.25">
      <c r="A4" t="s">
        <v>17</v>
      </c>
    </row>
    <row r="5" spans="1:13" x14ac:dyDescent="0.25">
      <c r="A5" s="1" t="s">
        <v>18</v>
      </c>
    </row>
    <row r="6" spans="1:13" x14ac:dyDescent="0.25">
      <c r="A6" t="s">
        <v>19</v>
      </c>
    </row>
    <row r="11" spans="1:13" x14ac:dyDescent="0.25">
      <c r="A11" s="1" t="s">
        <v>20</v>
      </c>
    </row>
    <row r="12" spans="1:13" x14ac:dyDescent="0.25">
      <c r="A12" t="s">
        <v>21</v>
      </c>
    </row>
    <row r="14" spans="1:13" x14ac:dyDescent="0.25">
      <c r="A14" s="1" t="s">
        <v>22</v>
      </c>
      <c r="H14" t="s">
        <v>26</v>
      </c>
      <c r="I14" t="s">
        <v>27</v>
      </c>
    </row>
    <row r="15" spans="1:13" x14ac:dyDescent="0.25">
      <c r="A15" t="s">
        <v>23</v>
      </c>
      <c r="I15" t="s">
        <v>28</v>
      </c>
      <c r="M15" s="2" t="s">
        <v>29</v>
      </c>
    </row>
    <row r="18" spans="1:26" x14ac:dyDescent="0.25">
      <c r="A18" s="1" t="s">
        <v>24</v>
      </c>
    </row>
    <row r="19" spans="1:26" x14ac:dyDescent="0.25">
      <c r="A19" t="s">
        <v>25</v>
      </c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6" spans="1:26" x14ac:dyDescent="0.25">
      <c r="A26" t="s">
        <v>46</v>
      </c>
      <c r="D26" t="s">
        <v>47</v>
      </c>
      <c r="Z26" s="1" t="s">
        <v>57</v>
      </c>
    </row>
    <row r="27" spans="1:26" x14ac:dyDescent="0.25">
      <c r="D27" t="s">
        <v>48</v>
      </c>
    </row>
    <row r="32" spans="1:26" x14ac:dyDescent="0.25">
      <c r="A32" t="s">
        <v>49</v>
      </c>
      <c r="B32">
        <v>25</v>
      </c>
      <c r="C32" t="s">
        <v>50</v>
      </c>
    </row>
    <row r="33" spans="1:3" x14ac:dyDescent="0.25">
      <c r="A33" t="s">
        <v>51</v>
      </c>
      <c r="B33">
        <f>POWER(B32,2)/10</f>
        <v>62.5</v>
      </c>
      <c r="C33" t="s">
        <v>52</v>
      </c>
    </row>
    <row r="34" spans="1:3" x14ac:dyDescent="0.25">
      <c r="A34" t="s">
        <v>53</v>
      </c>
      <c r="B34">
        <v>32</v>
      </c>
      <c r="C34" t="s">
        <v>54</v>
      </c>
    </row>
    <row r="35" spans="1:3" x14ac:dyDescent="0.25">
      <c r="A35" t="s">
        <v>55</v>
      </c>
      <c r="B35">
        <f>B34/(10*B32*(1+(50/B34)))</f>
        <v>4.9951219512195125E-2</v>
      </c>
      <c r="C35" t="s">
        <v>56</v>
      </c>
    </row>
    <row r="40" spans="1:3" x14ac:dyDescent="0.25">
      <c r="A40" t="s">
        <v>58</v>
      </c>
    </row>
    <row r="41" spans="1:3" x14ac:dyDescent="0.25">
      <c r="A41" s="1" t="s">
        <v>59</v>
      </c>
    </row>
    <row r="45" spans="1:3" x14ac:dyDescent="0.25">
      <c r="A45" t="s">
        <v>60</v>
      </c>
      <c r="B45" t="s">
        <v>61</v>
      </c>
    </row>
    <row r="47" spans="1:3" x14ac:dyDescent="0.25">
      <c r="A47">
        <f xml:space="preserve"> 1200/50</f>
        <v>24</v>
      </c>
    </row>
    <row r="53" spans="1:4" x14ac:dyDescent="0.25">
      <c r="A53" s="2" t="s">
        <v>62</v>
      </c>
      <c r="D53" t="s">
        <v>64</v>
      </c>
    </row>
    <row r="54" spans="1:4" x14ac:dyDescent="0.25">
      <c r="A54" t="s">
        <v>63</v>
      </c>
      <c r="D54" t="s">
        <v>64</v>
      </c>
    </row>
  </sheetData>
  <hyperlinks>
    <hyperlink ref="A5" r:id="rId1" display="https://www.te.com/usa-en/product-1558660-7.html" xr:uid="{E11FBDDA-5A88-4745-B331-9B1497D50820}"/>
    <hyperlink ref="A11" r:id="rId2" display="https://www.digikey.ee/en/products/detail/omron-electronics-inc-emc-div/G5LE-1-E-DC24/1277877" xr:uid="{A20E80E5-4D4C-41D4-9304-92344036980B}"/>
    <hyperlink ref="A14" r:id="rId3" display="https://www.digikey.ee/en/products/detail/cit-relay-and-switch/J1071CS3VDC-36/18734612" xr:uid="{90A752BE-5656-4CBD-922E-8B76C4880C40}"/>
    <hyperlink ref="A18" r:id="rId4" xr:uid="{AE527E9E-AFAB-44F9-9AA4-9E1D59716D91}"/>
    <hyperlink ref="Z26" r:id="rId5" display="https://www.digikey.com/en/products/detail/cit-relay-and-switch/J1071CS5VDC-36/18734609" xr:uid="{9FC15C3A-6A0F-42DA-85E2-3B7AC9EE4F6A}"/>
    <hyperlink ref="A41" r:id="rId6" display="https://www.digikey.com/en/products/detail/cit-relay-and-switch/J107F1CS205VDC-45/14000915" xr:uid="{57027363-C07F-4604-92F3-D3FF43398F00}"/>
  </hyperlinks>
  <pageMargins left="0.7" right="0.7" top="0.75" bottom="0.75" header="0.3" footer="0.3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BB98-B562-4A15-A531-0A17D7692A96}">
  <dimension ref="A1:K37"/>
  <sheetViews>
    <sheetView topLeftCell="A4" workbookViewId="0">
      <selection activeCell="J38" sqref="J38"/>
    </sheetView>
  </sheetViews>
  <sheetFormatPr defaultRowHeight="15" x14ac:dyDescent="0.25"/>
  <sheetData>
    <row r="1" spans="1:11" x14ac:dyDescent="0.25">
      <c r="K1" t="s">
        <v>42</v>
      </c>
    </row>
    <row r="3" spans="1:11" x14ac:dyDescent="0.25">
      <c r="A3" t="s">
        <v>30</v>
      </c>
      <c r="D3" t="s">
        <v>31</v>
      </c>
    </row>
    <row r="4" spans="1:11" x14ac:dyDescent="0.25">
      <c r="D4" t="s">
        <v>32</v>
      </c>
      <c r="J4" t="s">
        <v>43</v>
      </c>
    </row>
    <row r="5" spans="1:11" x14ac:dyDescent="0.25">
      <c r="J5" t="s">
        <v>44</v>
      </c>
    </row>
    <row r="7" spans="1:11" x14ac:dyDescent="0.25">
      <c r="A7" t="s">
        <v>33</v>
      </c>
    </row>
    <row r="8" spans="1:11" x14ac:dyDescent="0.25">
      <c r="A8" t="s">
        <v>34</v>
      </c>
    </row>
    <row r="10" spans="1:11" x14ac:dyDescent="0.25">
      <c r="A10" t="s">
        <v>35</v>
      </c>
      <c r="B10" t="s">
        <v>36</v>
      </c>
      <c r="C10" t="s">
        <v>37</v>
      </c>
    </row>
    <row r="11" spans="1:11" x14ac:dyDescent="0.25">
      <c r="A11" t="s">
        <v>38</v>
      </c>
      <c r="B11" t="s">
        <v>36</v>
      </c>
      <c r="C11" t="s">
        <v>39</v>
      </c>
    </row>
    <row r="13" spans="1:11" x14ac:dyDescent="0.25">
      <c r="A13" t="s">
        <v>40</v>
      </c>
    </row>
    <row r="14" spans="1:11" x14ac:dyDescent="0.25">
      <c r="A14" s="1" t="s">
        <v>41</v>
      </c>
    </row>
    <row r="37" spans="10:10" x14ac:dyDescent="0.25">
      <c r="J37" t="s">
        <v>45</v>
      </c>
    </row>
  </sheetData>
  <hyperlinks>
    <hyperlink ref="A14" r:id="rId1" display="https://www.digikey.ee/en/products/detail/te-connectivity-amp-connectors/1986711-2/3189857?s=N4IgjCBcoGwJxVAYygMwIYBsDOBTANCAPZQDaIALGGABxwDsIAuoQA4AuUIAyuwE4BLAHYBzEAF9C9GohApIGHAWJkQNCnDgAmZm06Qe-YWMlqE0OWix5CJSOTABmelV0gOXXoNETCNAAw6FvKKNir2II4ArDBgFDos7vqG3iaEYP70UbIh1sp2DlpOWjBuHgZexr7gFDSMwVZKtqqOcGBRTiCEFP7%2BMFEy3b39pUN9Udlj-Ql6nkY%2BpmBwdDmNYQUg-symRROrCnnNEe0ABACCXeAw52XJAKpCAuwA8qgAsrjo2ACufLjVRRgMgaBya4Qcty4AEkhOxcCJcHwJKZShYBAATLgAWgyEFmBku7AAnqx-gYvihxOIgA" xr:uid="{F2421F6F-CC33-4F32-BA5D-2FC62800CD1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DZD65U25AH7W-1291113271-26268</_dlc_DocId>
    <_dlc_DocIdUrl xmlns="34700147-afba-4891-810a-c484e8dc8ebf">
      <Url>https://defsecintel.sharepoint.com/sites/Documentationsite/_layouts/15/DocIdRedir.aspx?ID=DZD65U25AH7W-1291113271-26268</Url>
      <Description>DZD65U25AH7W-1291113271-26268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348B72-7BD5-4415-AADF-3B17820F0F85}">
  <ds:schemaRefs>
    <ds:schemaRef ds:uri="http://schemas.microsoft.com/office/2006/metadata/properties"/>
    <ds:schemaRef ds:uri="http://schemas.microsoft.com/office/infopath/2007/PartnerControls"/>
    <ds:schemaRef ds:uri="24628490-63fe-4a78-9861-31f2a70fc639"/>
    <ds:schemaRef ds:uri="80215b66-39ab-4073-9c50-ba98db366a00"/>
  </ds:schemaRefs>
</ds:datastoreItem>
</file>

<file path=customXml/itemProps2.xml><?xml version="1.0" encoding="utf-8"?>
<ds:datastoreItem xmlns:ds="http://schemas.openxmlformats.org/officeDocument/2006/customXml" ds:itemID="{403B2A00-B6FB-45D7-90E6-D63975FBD78D}"/>
</file>

<file path=customXml/itemProps3.xml><?xml version="1.0" encoding="utf-8"?>
<ds:datastoreItem xmlns:ds="http://schemas.openxmlformats.org/officeDocument/2006/customXml" ds:itemID="{4687C658-4C64-4B7B-ACBE-1A8F7E5EACA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61B51D-CFC3-4036-A29D-9510CDEA0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PCB relay</vt:lpstr>
      <vt:lpstr>Terminal 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Kaarel Koppel</cp:lastModifiedBy>
  <dcterms:created xsi:type="dcterms:W3CDTF">2015-06-05T18:17:20Z</dcterms:created>
  <dcterms:modified xsi:type="dcterms:W3CDTF">2024-10-28T12:11:09Z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MediaServiceImageTags">
    <vt:lpwstr/>
  </property>
  <property fmtid="{D5CDD505-2E9C-101B-9397-08002B2CF9AE}" pid="4" name="_dlc_DocIdItemGuid">
    <vt:lpwstr>2dbfe1ce-4235-4e7d-809f-60d0dca33042</vt:lpwstr>
  </property>
</Properties>
</file>