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Ethernet/"/>
    </mc:Choice>
  </mc:AlternateContent>
  <xr:revisionPtr revIDLastSave="78" documentId="11_B8E1506ED36AC9C4CEEF0BADB965BD2AD0144D0C" xr6:coauthVersionLast="47" xr6:coauthVersionMax="47" xr10:uidLastSave="{0F9F2F00-CC18-4597-872E-2E0A0F4260DF}"/>
  <bookViews>
    <workbookView xWindow="-108" yWindow="-108" windowWidth="46296" windowHeight="255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  <c r="D82" i="1"/>
  <c r="E76" i="1"/>
  <c r="D76" i="1"/>
  <c r="D77" i="1"/>
  <c r="E77" i="1" s="1"/>
  <c r="D78" i="1"/>
  <c r="E78" i="1" s="1"/>
  <c r="D79" i="1"/>
  <c r="E79" i="1" s="1"/>
  <c r="D80" i="1"/>
  <c r="E80" i="1" s="1"/>
  <c r="D81" i="1"/>
  <c r="E81" i="1" s="1"/>
  <c r="D74" i="1"/>
  <c r="D75" i="1"/>
  <c r="E75" i="1" s="1"/>
</calcChain>
</file>

<file path=xl/sharedStrings.xml><?xml version="1.0" encoding="utf-8"?>
<sst xmlns="http://schemas.openxmlformats.org/spreadsheetml/2006/main" count="32" uniqueCount="32">
  <si>
    <t>ETH_REF_CLK</t>
  </si>
  <si>
    <t>ETH_RX_DV</t>
  </si>
  <si>
    <t>ETH_RXD[1:0]</t>
  </si>
  <si>
    <t>ETH_CRS_DV</t>
  </si>
  <si>
    <t>ETH_RX_ER</t>
  </si>
  <si>
    <t>ETH_TXD[1:0]</t>
  </si>
  <si>
    <t>ETH_TX_EN</t>
  </si>
  <si>
    <t>ETH_MDC</t>
  </si>
  <si>
    <t>ETH_nRST</t>
  </si>
  <si>
    <t>ETH_RMII_REF_CLK</t>
  </si>
  <si>
    <t>ETH_MDIO</t>
  </si>
  <si>
    <t>ETH_RMII_TX_EN</t>
  </si>
  <si>
    <t>ETH_RMII_CRS_DV</t>
  </si>
  <si>
    <t>ETH_RMII_RXD0</t>
  </si>
  <si>
    <t>ETH_RMII_RXD1</t>
  </si>
  <si>
    <t>ETH_RMII_TXD0</t>
  </si>
  <si>
    <t>ETH_RMII_TXD1</t>
  </si>
  <si>
    <t>Length tables</t>
  </si>
  <si>
    <t>Signal</t>
  </si>
  <si>
    <t>Before resistor</t>
  </si>
  <si>
    <t xml:space="preserve">After resistor </t>
  </si>
  <si>
    <t>Total</t>
  </si>
  <si>
    <t>RMII_TXD0</t>
  </si>
  <si>
    <t>RMII_TXD1</t>
  </si>
  <si>
    <t>RMII_RXD1</t>
  </si>
  <si>
    <t>RMII_RXD0</t>
  </si>
  <si>
    <t>RMII_CRC_DV</t>
  </si>
  <si>
    <t>RMII_TXEN</t>
  </si>
  <si>
    <t>RMII_MDIO</t>
  </si>
  <si>
    <t>RMII_REFCLK</t>
  </si>
  <si>
    <t>Dif</t>
  </si>
  <si>
    <t>RMII_MDC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</si>
</sst>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9</xdr:col>
      <xdr:colOff>407019</xdr:colOff>
      <xdr:row>35</xdr:row>
      <xdr:rowOff>106681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18000-9E32-5A2C-86F2-C872561F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1"/>
          <a:ext cx="7386939" cy="5958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160021</xdr:rowOff>
    </xdr:from>
    <xdr:to>
      <xdr:col>9</xdr:col>
      <xdr:colOff>373380</xdr:colOff>
      <xdr:row>41</xdr:row>
      <xdr:rowOff>121363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DB8D20-DA64-53DD-6F37-603BE26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60821"/>
          <a:ext cx="7353300" cy="1058622"/>
        </a:xfrm>
        <a:prstGeom prst="rect">
          <a:avLst/>
        </a:prstGeom>
      </xdr:spPr>
    </xdr:pic>
    <xdr:clientData/>
  </xdr:twoCellAnchor>
  <xdr:twoCellAnchor editAs="oneCell">
    <xdr:from>
      <xdr:col>16</xdr:col>
      <xdr:colOff>518160</xdr:colOff>
      <xdr:row>14</xdr:row>
      <xdr:rowOff>175260</xdr:rowOff>
    </xdr:from>
    <xdr:to>
      <xdr:col>35</xdr:col>
      <xdr:colOff>243840</xdr:colOff>
      <xdr:row>53</xdr:row>
      <xdr:rowOff>154063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CBF17E-9B88-714C-E338-A5B77363F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71760" y="2735580"/>
          <a:ext cx="11308080" cy="7111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O82"/>
  <sheetViews>
    <sheetView tabSelected="1" topLeftCell="A19" workbookViewId="0">
      <selection activeCell="B82" sqref="B82"/>
    </sheetView>
  </sheetViews>
  <sheetFormatPr defaultRowHeight="14.4" x14ac:dyDescent="0.3"/>
  <cols>
    <col min="1" max="1" width="12.21875" customWidth="1"/>
    <col min="2" max="2" width="16.5546875" customWidth="1"/>
    <col min="3" max="3" width="15.21875" customWidth="1"/>
    <col min="4" max="4" width="13.33203125" customWidth="1"/>
  </cols>
  <sheetData>
    <row r="9" spans="15:15" x14ac:dyDescent="0.3">
      <c r="O9" t="s">
        <v>0</v>
      </c>
    </row>
    <row r="10" spans="15:15" x14ac:dyDescent="0.3">
      <c r="O10" t="s">
        <v>2</v>
      </c>
    </row>
    <row r="11" spans="15:15" x14ac:dyDescent="0.3">
      <c r="O11" t="s">
        <v>1</v>
      </c>
    </row>
    <row r="12" spans="15:15" x14ac:dyDescent="0.3">
      <c r="O12" t="s">
        <v>3</v>
      </c>
    </row>
    <row r="13" spans="15:15" x14ac:dyDescent="0.3">
      <c r="O13" t="s">
        <v>4</v>
      </c>
    </row>
    <row r="14" spans="15:15" x14ac:dyDescent="0.3">
      <c r="O14" t="s">
        <v>5</v>
      </c>
    </row>
    <row r="15" spans="15:15" x14ac:dyDescent="0.3">
      <c r="O15" t="s">
        <v>6</v>
      </c>
    </row>
    <row r="59" spans="11:11" x14ac:dyDescent="0.3">
      <c r="K59" t="s">
        <v>7</v>
      </c>
    </row>
    <row r="60" spans="11:11" x14ac:dyDescent="0.3">
      <c r="K60" t="s">
        <v>8</v>
      </c>
    </row>
    <row r="61" spans="11:11" x14ac:dyDescent="0.3">
      <c r="K61" t="s">
        <v>9</v>
      </c>
    </row>
    <row r="62" spans="11:11" x14ac:dyDescent="0.3">
      <c r="K62" t="s">
        <v>10</v>
      </c>
    </row>
    <row r="63" spans="11:11" x14ac:dyDescent="0.3">
      <c r="K63" t="s">
        <v>11</v>
      </c>
    </row>
    <row r="64" spans="11:11" x14ac:dyDescent="0.3">
      <c r="K64" t="s">
        <v>12</v>
      </c>
    </row>
    <row r="65" spans="1:11" x14ac:dyDescent="0.3">
      <c r="K65" t="s">
        <v>13</v>
      </c>
    </row>
    <row r="66" spans="1:11" x14ac:dyDescent="0.3">
      <c r="K66" t="s">
        <v>14</v>
      </c>
    </row>
    <row r="67" spans="1:11" x14ac:dyDescent="0.3">
      <c r="K67" t="s">
        <v>15</v>
      </c>
    </row>
    <row r="68" spans="1:11" x14ac:dyDescent="0.3">
      <c r="K68" t="s">
        <v>16</v>
      </c>
    </row>
    <row r="72" spans="1:11" x14ac:dyDescent="0.3">
      <c r="B72" t="s">
        <v>17</v>
      </c>
    </row>
    <row r="73" spans="1:11" x14ac:dyDescent="0.3">
      <c r="A73" t="s">
        <v>18</v>
      </c>
      <c r="B73" t="s">
        <v>19</v>
      </c>
      <c r="C73" t="s">
        <v>20</v>
      </c>
      <c r="D73" t="s">
        <v>21</v>
      </c>
      <c r="E73" t="s">
        <v>30</v>
      </c>
    </row>
    <row r="74" spans="1:11" x14ac:dyDescent="0.3">
      <c r="A74" t="s">
        <v>23</v>
      </c>
      <c r="B74">
        <v>40.344000000000001</v>
      </c>
      <c r="C74">
        <v>5.2160000000000002</v>
      </c>
      <c r="D74">
        <f>B74+C74</f>
        <v>45.56</v>
      </c>
    </row>
    <row r="75" spans="1:11" x14ac:dyDescent="0.3">
      <c r="A75" t="s">
        <v>22</v>
      </c>
      <c r="B75">
        <v>41.317</v>
      </c>
      <c r="C75">
        <v>4.2030000000000003</v>
      </c>
      <c r="D75">
        <f>B75+C75</f>
        <v>45.52</v>
      </c>
      <c r="E75">
        <f>$D$74-D75</f>
        <v>3.9999999999999147E-2</v>
      </c>
    </row>
    <row r="76" spans="1:11" x14ac:dyDescent="0.3">
      <c r="A76" t="s">
        <v>24</v>
      </c>
      <c r="B76">
        <v>42.392000000000003</v>
      </c>
      <c r="C76">
        <v>3.1970000000000001</v>
      </c>
      <c r="D76">
        <f t="shared" ref="D76:D82" si="0">B76+C76</f>
        <v>45.589000000000006</v>
      </c>
      <c r="E76">
        <f t="shared" ref="E76:E82" si="1">$D$74-D76</f>
        <v>-2.9000000000003467E-2</v>
      </c>
    </row>
    <row r="77" spans="1:11" x14ac:dyDescent="0.3">
      <c r="A77" t="s">
        <v>25</v>
      </c>
      <c r="B77">
        <v>41.933999999999997</v>
      </c>
      <c r="C77">
        <v>3.59</v>
      </c>
      <c r="D77">
        <f t="shared" si="0"/>
        <v>45.524000000000001</v>
      </c>
      <c r="E77">
        <f t="shared" si="1"/>
        <v>3.6000000000001364E-2</v>
      </c>
    </row>
    <row r="78" spans="1:11" x14ac:dyDescent="0.3">
      <c r="A78" t="s">
        <v>26</v>
      </c>
      <c r="B78">
        <v>42.247</v>
      </c>
      <c r="C78">
        <v>3.2730000000000001</v>
      </c>
      <c r="D78">
        <f t="shared" si="0"/>
        <v>45.52</v>
      </c>
      <c r="E78">
        <f t="shared" si="1"/>
        <v>3.9999999999999147E-2</v>
      </c>
    </row>
    <row r="79" spans="1:11" x14ac:dyDescent="0.3">
      <c r="A79" t="s">
        <v>27</v>
      </c>
      <c r="B79">
        <v>36.073</v>
      </c>
      <c r="C79">
        <v>9.3940000000000001</v>
      </c>
      <c r="D79">
        <f t="shared" si="0"/>
        <v>45.466999999999999</v>
      </c>
      <c r="E79">
        <f t="shared" si="1"/>
        <v>9.3000000000003524E-2</v>
      </c>
    </row>
    <row r="80" spans="1:11" x14ac:dyDescent="0.3">
      <c r="A80" t="s">
        <v>28</v>
      </c>
      <c r="B80">
        <v>45.564</v>
      </c>
      <c r="D80">
        <f t="shared" si="0"/>
        <v>45.564</v>
      </c>
      <c r="E80">
        <f t="shared" si="1"/>
        <v>-3.9999999999977831E-3</v>
      </c>
    </row>
    <row r="81" spans="1:5" x14ac:dyDescent="0.3">
      <c r="A81" t="s">
        <v>29</v>
      </c>
      <c r="B81">
        <v>41.311</v>
      </c>
      <c r="C81">
        <v>4.1829999999999998</v>
      </c>
      <c r="D81">
        <f t="shared" si="0"/>
        <v>45.494</v>
      </c>
      <c r="E81">
        <f t="shared" si="1"/>
        <v>6.6000000000002501E-2</v>
      </c>
    </row>
    <row r="82" spans="1:5" x14ac:dyDescent="0.3">
      <c r="A82" t="s">
        <v>31</v>
      </c>
      <c r="B82">
        <v>45.643000000000001</v>
      </c>
      <c r="D82">
        <f t="shared" si="0"/>
        <v>45.643000000000001</v>
      </c>
      <c r="E82">
        <f t="shared" si="1"/>
        <v>-8.2999999999998408E-2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DZD65U25AH7W-1291113271-25925</_dlc_DocId>
    <_dlc_DocIdUrl xmlns="34700147-afba-4891-810a-c484e8dc8ebf">
      <Url>https://defsecintel.sharepoint.com/sites/Documentationsite/_layouts/15/DocIdRedir.aspx?ID=DZD65U25AH7W-1291113271-25925</Url>
      <Description>DZD65U25AH7W-1291113271-25925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5706C7A-106C-41A6-9E0E-70955C22DE36}"/>
</file>

<file path=customXml/itemProps2.xml><?xml version="1.0" encoding="utf-8"?>
<ds:datastoreItem xmlns:ds="http://schemas.openxmlformats.org/officeDocument/2006/customXml" ds:itemID="{89D90140-D7EA-43BE-A850-27197BE55D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AC099-8A2D-4AD1-990E-2D5CC4FFFF8B}"/>
</file>

<file path=customXml/itemProps4.xml><?xml version="1.0" encoding="utf-8"?>
<ds:datastoreItem xmlns:ds="http://schemas.openxmlformats.org/officeDocument/2006/customXml" ds:itemID="{A4B9CA16-7B48-4669-ADCC-581F8EF1A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2024-02-12T14:45:11Z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6fa78183-9b5a-458b-9cce-f0cc254bf047</vt:lpwstr>
  </property>
  <property fmtid="{D5CDD505-2E9C-101B-9397-08002B2CF9AE}" pid="4" name="MediaServiceImageTags">
    <vt:lpwstr/>
  </property>
</Properties>
</file>