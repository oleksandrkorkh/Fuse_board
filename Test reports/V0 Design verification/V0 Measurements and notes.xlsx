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Test reports/V0 Design verification/"/>
    </mc:Choice>
  </mc:AlternateContent>
  <xr:revisionPtr revIDLastSave="128" documentId="13_ncr:1_{1103AA1B-77A1-40FA-9864-FA0CD1ED1DD7}" xr6:coauthVersionLast="47" xr6:coauthVersionMax="47" xr10:uidLastSave="{C552BB64-2163-45C3-ADAE-9EDECED1B98E}"/>
  <bookViews>
    <workbookView xWindow="-108" yWindow="-108" windowWidth="46296" windowHeight="25536" activeTab="3" xr2:uid="{00000000-000D-0000-FFFF-FFFF00000000}"/>
  </bookViews>
  <sheets>
    <sheet name="5V SMPS" sheetId="1" r:id="rId1"/>
    <sheet name="High current load" sheetId="2" r:id="rId2"/>
    <sheet name="Sheet1" sheetId="3" r:id="rId3"/>
    <sheet name="Replaced rela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D21" i="3"/>
  <c r="D22" i="3"/>
  <c r="D23" i="3"/>
  <c r="D19" i="3"/>
  <c r="D9" i="3"/>
  <c r="D10" i="3"/>
  <c r="D8" i="3"/>
  <c r="B55" i="2"/>
  <c r="B53" i="2"/>
</calcChain>
</file>

<file path=xl/sharedStrings.xml><?xml version="1.0" encoding="utf-8"?>
<sst xmlns="http://schemas.openxmlformats.org/spreadsheetml/2006/main" count="115" uniqueCount="97">
  <si>
    <t>Load</t>
  </si>
  <si>
    <t>Temperature</t>
  </si>
  <si>
    <t>Vout [V]</t>
  </si>
  <si>
    <t>Ripple [mVp-p]</t>
  </si>
  <si>
    <t>Heat soak test</t>
  </si>
  <si>
    <t>26.08.2024</t>
  </si>
  <si>
    <t>Start</t>
  </si>
  <si>
    <t>Vin</t>
  </si>
  <si>
    <t xml:space="preserve">Ambient </t>
  </si>
  <si>
    <t>27.08.2024</t>
  </si>
  <si>
    <t>Stop</t>
  </si>
  <si>
    <t>16 h</t>
  </si>
  <si>
    <t>Bandwith limit on oscilloscope set to 20MHz</t>
  </si>
  <si>
    <t>60 c</t>
  </si>
  <si>
    <t>low - high</t>
  </si>
  <si>
    <t>tek 002</t>
  </si>
  <si>
    <t>high - low</t>
  </si>
  <si>
    <t>tek 006</t>
  </si>
  <si>
    <t>-20 c</t>
  </si>
  <si>
    <t>cold wake-up under load</t>
  </si>
  <si>
    <t>tek007</t>
  </si>
  <si>
    <t>low-high</t>
  </si>
  <si>
    <t>tek010</t>
  </si>
  <si>
    <t>Cold startup under load</t>
  </si>
  <si>
    <t>Vin off for 5 minutes to let the board cool.</t>
  </si>
  <si>
    <t>0,1A</t>
  </si>
  <si>
    <t>0,5A</t>
  </si>
  <si>
    <t>1A</t>
  </si>
  <si>
    <t>1,5A</t>
  </si>
  <si>
    <t>0A</t>
  </si>
  <si>
    <t>4,75ms</t>
  </si>
  <si>
    <t>tek0012</t>
  </si>
  <si>
    <t>4,56ms</t>
  </si>
  <si>
    <t>tek0014</t>
  </si>
  <si>
    <t>not starting - not reaching regulation voltage</t>
  </si>
  <si>
    <t>0,2A</t>
  </si>
  <si>
    <t>Vin 32V</t>
  </si>
  <si>
    <t>not starting</t>
  </si>
  <si>
    <t>Tested also with Vin = 24</t>
  </si>
  <si>
    <t>no start with 3,3R load</t>
  </si>
  <si>
    <t>Ok start with 10R load</t>
  </si>
  <si>
    <t>With 5,3R the voltage reaches 4,439V</t>
  </si>
  <si>
    <t xml:space="preserve">If regulator </t>
  </si>
  <si>
    <t>5,3R</t>
  </si>
  <si>
    <t>tek 0016</t>
  </si>
  <si>
    <t>10R</t>
  </si>
  <si>
    <t>tek 0017</t>
  </si>
  <si>
    <t>tek 0019</t>
  </si>
  <si>
    <t>high-low</t>
  </si>
  <si>
    <t>tek0021</t>
  </si>
  <si>
    <t>Room temperature startuüp</t>
  </si>
  <si>
    <t>28V</t>
  </si>
  <si>
    <t>not ok with electronic load 0,2A</t>
  </si>
  <si>
    <t>Input voltage</t>
  </si>
  <si>
    <t>Start under load</t>
  </si>
  <si>
    <t>tek 003</t>
  </si>
  <si>
    <t>7.1</t>
  </si>
  <si>
    <t xml:space="preserve">2 relays failed </t>
  </si>
  <si>
    <t>It's unclear if it's a design fault or fault in testing</t>
  </si>
  <si>
    <t>With first failure the switch used gave really indermittent signal causing the relay to switch on and off multiple time in short period.</t>
  </si>
  <si>
    <t>It's possible that during turn-off D108 experienced many voltage spikes.</t>
  </si>
  <si>
    <t xml:space="preserve">D108 gave different measurements during multimeter diode test compared to other diodes. It's possible that it does not work as a </t>
  </si>
  <si>
    <t>protection device and that's the reason why the second relay failed on the first turn off. There was nothing to disable the ark.</t>
  </si>
  <si>
    <t>on</t>
  </si>
  <si>
    <t>tek 0013</t>
  </si>
  <si>
    <t>off</t>
  </si>
  <si>
    <t>tek 0015</t>
  </si>
  <si>
    <t>5A</t>
  </si>
  <si>
    <t>tek 0018</t>
  </si>
  <si>
    <t>10A</t>
  </si>
  <si>
    <t xml:space="preserve">on </t>
  </si>
  <si>
    <t>tek 0020</t>
  </si>
  <si>
    <t>tek 0021</t>
  </si>
  <si>
    <t>Images in folder \KR-Df-01 (Fuse board)\Test reports\V0 Design verification\Power output images</t>
  </si>
  <si>
    <t>I</t>
  </si>
  <si>
    <t>R</t>
  </si>
  <si>
    <t>C</t>
  </si>
  <si>
    <t>uF</t>
  </si>
  <si>
    <t>A</t>
  </si>
  <si>
    <t>E0</t>
  </si>
  <si>
    <t>V</t>
  </si>
  <si>
    <t>Ω</t>
  </si>
  <si>
    <t>Calculated output [V]</t>
  </si>
  <si>
    <t>Measured output [V]</t>
  </si>
  <si>
    <t>Vin [V]</t>
  </si>
  <si>
    <t>Iout [A]</t>
  </si>
  <si>
    <t xml:space="preserve">Vin </t>
  </si>
  <si>
    <t>High current disconnect</t>
  </si>
  <si>
    <t>20A</t>
  </si>
  <si>
    <t>ok</t>
  </si>
  <si>
    <t>25A</t>
  </si>
  <si>
    <t>1s on</t>
  </si>
  <si>
    <t>5S 0ff</t>
  </si>
  <si>
    <t>28A</t>
  </si>
  <si>
    <t>14V</t>
  </si>
  <si>
    <t>30A</t>
  </si>
  <si>
    <t>Fuse blown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</si>
</sst>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0" fillId="0" borderId="0" xfId="0" quotePrefix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83820</xdr:colOff>
      <xdr:row>1</xdr:row>
      <xdr:rowOff>175260</xdr:rowOff>
    </xdr:from>
    <xdr:to>
      <xdr:col>25</xdr:col>
      <xdr:colOff>599263</xdr:colOff>
      <xdr:row>30</xdr:row>
      <xdr:rowOff>139800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4A9154-5E29-C8EC-BFC9-F7151DBAE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8620" y="358140"/>
          <a:ext cx="7830643" cy="5268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12</xdr:col>
      <xdr:colOff>203979</xdr:colOff>
      <xdr:row>47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18235-1BDA-C2AB-D481-CC049925F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57600"/>
          <a:ext cx="7519179" cy="5021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54"/>
  <sheetViews>
    <sheetView topLeftCell="A27" zoomScale="97" workbookViewId="0">
      <selection activeCell="C54" sqref="C54"/>
    </sheetView>
  </sheetViews>
  <sheetFormatPr defaultRowHeight="15" x14ac:dyDescent="0.25"/>
  <cols>
    <col min="2" max="2" width="12.85546875" customWidth="1"/>
    <col min="5" max="5" width="13.140625" customWidth="1"/>
  </cols>
  <sheetData>
    <row r="2" spans="2:23" x14ac:dyDescent="0.25">
      <c r="D2" s="5" t="s">
        <v>53</v>
      </c>
      <c r="E2" s="5"/>
      <c r="F2" s="5"/>
      <c r="G2" s="5"/>
      <c r="H2" s="5"/>
      <c r="I2" s="5"/>
    </row>
    <row r="3" spans="2:23" x14ac:dyDescent="0.25">
      <c r="D3" s="5">
        <v>24</v>
      </c>
      <c r="E3" s="5"/>
      <c r="F3" s="5">
        <v>28</v>
      </c>
      <c r="G3" s="5"/>
      <c r="H3" s="5">
        <v>32</v>
      </c>
      <c r="I3" s="5"/>
    </row>
    <row r="4" spans="2:23" x14ac:dyDescent="0.25">
      <c r="B4" t="s">
        <v>1</v>
      </c>
      <c r="C4" t="s">
        <v>0</v>
      </c>
      <c r="D4" t="s">
        <v>2</v>
      </c>
      <c r="E4" t="s">
        <v>3</v>
      </c>
      <c r="F4" t="s">
        <v>2</v>
      </c>
      <c r="G4" t="s">
        <v>3</v>
      </c>
      <c r="H4" t="s">
        <v>2</v>
      </c>
      <c r="I4" t="s">
        <v>3</v>
      </c>
    </row>
    <row r="5" spans="2:23" x14ac:dyDescent="0.25">
      <c r="B5" s="5">
        <v>-20</v>
      </c>
      <c r="C5">
        <v>0</v>
      </c>
      <c r="D5">
        <v>5.1379999999999999</v>
      </c>
      <c r="E5">
        <v>20</v>
      </c>
      <c r="F5">
        <v>5.1420000000000003</v>
      </c>
      <c r="G5">
        <v>23.6</v>
      </c>
      <c r="H5">
        <v>5.141</v>
      </c>
      <c r="I5">
        <v>24.4</v>
      </c>
      <c r="R5" t="s">
        <v>5</v>
      </c>
    </row>
    <row r="6" spans="2:23" x14ac:dyDescent="0.25">
      <c r="B6" s="5"/>
      <c r="C6">
        <v>0.1</v>
      </c>
      <c r="D6">
        <v>5.085</v>
      </c>
      <c r="E6">
        <v>21.2</v>
      </c>
      <c r="F6">
        <v>5.1020000000000003</v>
      </c>
      <c r="G6">
        <v>24</v>
      </c>
      <c r="H6">
        <v>5.109</v>
      </c>
      <c r="I6">
        <v>24.4</v>
      </c>
      <c r="P6" t="s">
        <v>6</v>
      </c>
      <c r="R6" s="1">
        <v>0.68055555555555558</v>
      </c>
      <c r="S6" t="s">
        <v>4</v>
      </c>
      <c r="V6" t="s">
        <v>0</v>
      </c>
      <c r="W6">
        <v>1.5</v>
      </c>
    </row>
    <row r="7" spans="2:23" x14ac:dyDescent="0.25">
      <c r="B7" s="5"/>
      <c r="C7">
        <v>0.5</v>
      </c>
      <c r="D7">
        <v>5.077</v>
      </c>
      <c r="E7">
        <v>26.8</v>
      </c>
      <c r="F7">
        <v>5.077</v>
      </c>
      <c r="G7">
        <v>26.4</v>
      </c>
      <c r="H7">
        <v>5.0780000000000003</v>
      </c>
      <c r="I7">
        <v>23.6</v>
      </c>
      <c r="V7" t="s">
        <v>7</v>
      </c>
      <c r="W7">
        <v>32</v>
      </c>
    </row>
    <row r="8" spans="2:23" x14ac:dyDescent="0.25">
      <c r="B8" s="5"/>
      <c r="C8">
        <v>1</v>
      </c>
      <c r="D8">
        <v>5.0780000000000003</v>
      </c>
      <c r="E8">
        <v>47.2</v>
      </c>
      <c r="F8">
        <v>5.0780000000000003</v>
      </c>
      <c r="G8">
        <v>46.4</v>
      </c>
      <c r="H8">
        <v>5.0780000000000003</v>
      </c>
      <c r="I8">
        <v>43.6</v>
      </c>
      <c r="R8" t="s">
        <v>9</v>
      </c>
      <c r="V8" t="s">
        <v>8</v>
      </c>
      <c r="W8">
        <v>60</v>
      </c>
    </row>
    <row r="9" spans="2:23" x14ac:dyDescent="0.25">
      <c r="B9" s="5"/>
      <c r="C9">
        <v>1.5</v>
      </c>
      <c r="D9">
        <v>5.0780000000000003</v>
      </c>
      <c r="E9">
        <v>67.2</v>
      </c>
      <c r="F9">
        <v>5.077</v>
      </c>
      <c r="G9">
        <v>64</v>
      </c>
      <c r="H9">
        <v>5.077</v>
      </c>
      <c r="I9">
        <v>62.4</v>
      </c>
      <c r="P9" t="s">
        <v>10</v>
      </c>
      <c r="R9" s="1">
        <v>0.34722222222222221</v>
      </c>
    </row>
    <row r="10" spans="2:23" x14ac:dyDescent="0.25">
      <c r="B10" s="5">
        <v>24</v>
      </c>
      <c r="C10">
        <v>0</v>
      </c>
      <c r="D10">
        <v>5.1379999999999999</v>
      </c>
      <c r="E10">
        <v>18</v>
      </c>
      <c r="F10">
        <v>5.1379999999999999</v>
      </c>
      <c r="G10">
        <v>20.8</v>
      </c>
      <c r="H10">
        <v>5.14</v>
      </c>
      <c r="I10">
        <v>19.600000000000001</v>
      </c>
    </row>
    <row r="11" spans="2:23" x14ac:dyDescent="0.25">
      <c r="B11" s="5"/>
      <c r="C11">
        <v>0.1</v>
      </c>
      <c r="D11">
        <v>5.08</v>
      </c>
      <c r="E11">
        <v>30.04</v>
      </c>
      <c r="F11">
        <v>5.0990000000000002</v>
      </c>
      <c r="G11">
        <v>20.8</v>
      </c>
      <c r="H11">
        <v>5.1070000000000002</v>
      </c>
      <c r="I11">
        <v>20.8</v>
      </c>
    </row>
    <row r="12" spans="2:23" x14ac:dyDescent="0.25">
      <c r="B12" s="5"/>
      <c r="C12">
        <v>0.5</v>
      </c>
      <c r="D12">
        <v>5.0670000000000002</v>
      </c>
      <c r="E12">
        <v>25.2</v>
      </c>
      <c r="F12">
        <v>5.0679999999999996</v>
      </c>
      <c r="G12">
        <v>28.4</v>
      </c>
      <c r="H12">
        <v>5.0679999999999996</v>
      </c>
      <c r="I12">
        <v>26.8</v>
      </c>
      <c r="R12" t="s">
        <v>11</v>
      </c>
    </row>
    <row r="13" spans="2:23" x14ac:dyDescent="0.25">
      <c r="B13" s="5"/>
      <c r="C13">
        <v>1</v>
      </c>
      <c r="D13">
        <v>5.0659999999999998</v>
      </c>
      <c r="E13">
        <v>46</v>
      </c>
      <c r="F13">
        <v>5.0659999999999998</v>
      </c>
      <c r="G13">
        <v>45.2</v>
      </c>
      <c r="H13">
        <v>5.0659999999999998</v>
      </c>
      <c r="I13">
        <v>44.8</v>
      </c>
    </row>
    <row r="14" spans="2:23" x14ac:dyDescent="0.25">
      <c r="B14" s="5"/>
      <c r="C14">
        <v>1.5</v>
      </c>
      <c r="D14">
        <v>5.0640000000000001</v>
      </c>
      <c r="E14">
        <v>68.400000000000006</v>
      </c>
      <c r="F14">
        <v>5.0640000000000001</v>
      </c>
      <c r="G14">
        <v>66</v>
      </c>
      <c r="H14">
        <v>5.0640000000000001</v>
      </c>
      <c r="I14">
        <v>69.2</v>
      </c>
    </row>
    <row r="15" spans="2:23" x14ac:dyDescent="0.25">
      <c r="B15" s="5">
        <v>60</v>
      </c>
      <c r="C15">
        <v>0</v>
      </c>
      <c r="D15">
        <v>5.1470000000000002</v>
      </c>
      <c r="E15">
        <v>17.600000000000001</v>
      </c>
      <c r="F15">
        <v>5.1459999999999999</v>
      </c>
      <c r="G15">
        <v>21.6</v>
      </c>
      <c r="H15">
        <v>5.1470000000000002</v>
      </c>
      <c r="I15">
        <v>22</v>
      </c>
    </row>
    <row r="16" spans="2:23" x14ac:dyDescent="0.25">
      <c r="B16" s="5"/>
      <c r="C16">
        <v>0.1</v>
      </c>
      <c r="D16">
        <v>5.0880000000000001</v>
      </c>
      <c r="E16">
        <v>27.6</v>
      </c>
      <c r="F16">
        <v>5.1040000000000001</v>
      </c>
      <c r="G16">
        <v>23.6</v>
      </c>
      <c r="H16">
        <v>5.1139999999999999</v>
      </c>
      <c r="I16">
        <v>22</v>
      </c>
      <c r="P16" t="s">
        <v>12</v>
      </c>
    </row>
    <row r="17" spans="2:17" x14ac:dyDescent="0.25">
      <c r="B17" s="5"/>
      <c r="C17">
        <v>0.5</v>
      </c>
      <c r="D17">
        <v>5.0739999999999998</v>
      </c>
      <c r="E17">
        <v>30</v>
      </c>
      <c r="F17">
        <v>5.0730000000000004</v>
      </c>
      <c r="G17">
        <v>29.2</v>
      </c>
      <c r="H17">
        <v>5.0730000000000004</v>
      </c>
      <c r="I17">
        <v>28.8</v>
      </c>
    </row>
    <row r="18" spans="2:17" x14ac:dyDescent="0.25">
      <c r="B18" s="5"/>
      <c r="C18">
        <v>1</v>
      </c>
      <c r="D18">
        <v>5.0759999999999996</v>
      </c>
      <c r="E18">
        <v>54.8</v>
      </c>
      <c r="F18">
        <v>5.0750000000000002</v>
      </c>
      <c r="G18">
        <v>50</v>
      </c>
      <c r="H18">
        <v>5.0759999999999996</v>
      </c>
      <c r="I18">
        <v>55.2</v>
      </c>
    </row>
    <row r="19" spans="2:17" x14ac:dyDescent="0.25">
      <c r="B19" s="5"/>
      <c r="C19">
        <v>1.5</v>
      </c>
      <c r="D19">
        <v>5.0780000000000003</v>
      </c>
      <c r="E19">
        <v>78.400000000000006</v>
      </c>
      <c r="F19">
        <v>5.0780000000000003</v>
      </c>
      <c r="G19">
        <v>75.599999999999994</v>
      </c>
      <c r="H19">
        <v>5.0810000000000004</v>
      </c>
      <c r="I19">
        <v>77.599999999999994</v>
      </c>
    </row>
    <row r="21" spans="2:17" x14ac:dyDescent="0.25">
      <c r="P21" t="s">
        <v>19</v>
      </c>
    </row>
    <row r="25" spans="2:17" x14ac:dyDescent="0.25">
      <c r="L25" t="s">
        <v>36</v>
      </c>
    </row>
    <row r="26" spans="2:17" x14ac:dyDescent="0.25">
      <c r="B26" t="s">
        <v>13</v>
      </c>
      <c r="C26" t="s">
        <v>14</v>
      </c>
      <c r="D26" t="s">
        <v>15</v>
      </c>
      <c r="L26" t="s">
        <v>23</v>
      </c>
    </row>
    <row r="27" spans="2:17" x14ac:dyDescent="0.25">
      <c r="C27" t="s">
        <v>16</v>
      </c>
      <c r="D27" t="s">
        <v>17</v>
      </c>
      <c r="L27" t="s">
        <v>24</v>
      </c>
    </row>
    <row r="28" spans="2:17" x14ac:dyDescent="0.25">
      <c r="L28" t="s">
        <v>29</v>
      </c>
      <c r="M28" t="s">
        <v>30</v>
      </c>
      <c r="N28" t="s">
        <v>31</v>
      </c>
    </row>
    <row r="29" spans="2:17" x14ac:dyDescent="0.25">
      <c r="B29" s="2" t="s">
        <v>18</v>
      </c>
      <c r="C29" t="s">
        <v>16</v>
      </c>
      <c r="D29" t="s">
        <v>20</v>
      </c>
      <c r="L29" t="s">
        <v>25</v>
      </c>
      <c r="M29" t="s">
        <v>32</v>
      </c>
      <c r="N29" t="s">
        <v>33</v>
      </c>
    </row>
    <row r="30" spans="2:17" x14ac:dyDescent="0.25">
      <c r="C30" t="s">
        <v>21</v>
      </c>
      <c r="D30" t="s">
        <v>22</v>
      </c>
      <c r="L30" t="s">
        <v>35</v>
      </c>
      <c r="M30" t="s">
        <v>37</v>
      </c>
      <c r="P30" t="s">
        <v>38</v>
      </c>
    </row>
    <row r="31" spans="2:17" x14ac:dyDescent="0.25">
      <c r="P31">
        <v>-20</v>
      </c>
      <c r="Q31" t="s">
        <v>39</v>
      </c>
    </row>
    <row r="32" spans="2:17" x14ac:dyDescent="0.25">
      <c r="B32">
        <v>24</v>
      </c>
      <c r="C32" t="s">
        <v>21</v>
      </c>
      <c r="D32" t="s">
        <v>47</v>
      </c>
      <c r="Q32" t="s">
        <v>40</v>
      </c>
    </row>
    <row r="33" spans="3:21" x14ac:dyDescent="0.25">
      <c r="C33" t="s">
        <v>48</v>
      </c>
      <c r="D33" t="s">
        <v>49</v>
      </c>
      <c r="Q33" t="s">
        <v>41</v>
      </c>
      <c r="U33" t="s">
        <v>42</v>
      </c>
    </row>
    <row r="35" spans="3:21" x14ac:dyDescent="0.25">
      <c r="L35" t="s">
        <v>26</v>
      </c>
      <c r="N35" t="s">
        <v>34</v>
      </c>
    </row>
    <row r="36" spans="3:21" x14ac:dyDescent="0.25">
      <c r="L36" t="s">
        <v>27</v>
      </c>
    </row>
    <row r="37" spans="3:21" x14ac:dyDescent="0.25">
      <c r="L37" t="s">
        <v>28</v>
      </c>
    </row>
    <row r="39" spans="3:21" x14ac:dyDescent="0.25">
      <c r="Q39" t="s">
        <v>43</v>
      </c>
      <c r="R39" t="s">
        <v>44</v>
      </c>
    </row>
    <row r="40" spans="3:21" x14ac:dyDescent="0.25">
      <c r="Q40" t="s">
        <v>45</v>
      </c>
      <c r="R40" t="s">
        <v>46</v>
      </c>
    </row>
    <row r="42" spans="3:21" x14ac:dyDescent="0.25">
      <c r="L42" t="s">
        <v>50</v>
      </c>
    </row>
    <row r="43" spans="3:21" x14ac:dyDescent="0.25">
      <c r="L43" t="s">
        <v>51</v>
      </c>
      <c r="M43" t="s">
        <v>52</v>
      </c>
    </row>
    <row r="51" spans="2:3" x14ac:dyDescent="0.25">
      <c r="B51" t="s">
        <v>54</v>
      </c>
    </row>
    <row r="53" spans="2:3" x14ac:dyDescent="0.25">
      <c r="B53">
        <v>24</v>
      </c>
      <c r="C53" t="s">
        <v>15</v>
      </c>
    </row>
    <row r="54" spans="2:3" x14ac:dyDescent="0.25">
      <c r="B54">
        <v>-20</v>
      </c>
      <c r="C54" t="s">
        <v>55</v>
      </c>
    </row>
  </sheetData>
  <mergeCells count="7">
    <mergeCell ref="H3:I3"/>
    <mergeCell ref="D2:I2"/>
    <mergeCell ref="B10:B14"/>
    <mergeCell ref="B15:B19"/>
    <mergeCell ref="B5:B9"/>
    <mergeCell ref="D3:E3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39FE-EDBD-47B3-9569-DDD265599670}">
  <dimension ref="A2:C55"/>
  <sheetViews>
    <sheetView workbookViewId="0">
      <selection activeCell="P46" sqref="P46"/>
    </sheetView>
  </sheetViews>
  <sheetFormatPr defaultRowHeight="15" x14ac:dyDescent="0.25"/>
  <sheetData>
    <row r="2" spans="1:3" x14ac:dyDescent="0.25">
      <c r="A2" t="s">
        <v>56</v>
      </c>
    </row>
    <row r="3" spans="1:3" x14ac:dyDescent="0.25">
      <c r="A3" t="s">
        <v>57</v>
      </c>
    </row>
    <row r="4" spans="1:3" x14ac:dyDescent="0.25">
      <c r="A4" t="s">
        <v>58</v>
      </c>
    </row>
    <row r="7" spans="1:3" x14ac:dyDescent="0.25">
      <c r="A7" t="s">
        <v>59</v>
      </c>
    </row>
    <row r="8" spans="1:3" x14ac:dyDescent="0.25">
      <c r="A8" t="s">
        <v>60</v>
      </c>
    </row>
    <row r="9" spans="1:3" x14ac:dyDescent="0.25">
      <c r="A9" t="s">
        <v>61</v>
      </c>
    </row>
    <row r="10" spans="1:3" x14ac:dyDescent="0.25">
      <c r="A10" t="s">
        <v>62</v>
      </c>
    </row>
    <row r="12" spans="1:3" x14ac:dyDescent="0.25">
      <c r="B12" t="s">
        <v>73</v>
      </c>
    </row>
    <row r="13" spans="1:3" x14ac:dyDescent="0.25">
      <c r="A13" t="s">
        <v>27</v>
      </c>
      <c r="B13" t="s">
        <v>63</v>
      </c>
      <c r="C13" t="s">
        <v>64</v>
      </c>
    </row>
    <row r="14" spans="1:3" x14ac:dyDescent="0.25">
      <c r="B14" t="s">
        <v>65</v>
      </c>
      <c r="C14" t="s">
        <v>66</v>
      </c>
    </row>
    <row r="15" spans="1:3" x14ac:dyDescent="0.25">
      <c r="A15" t="s">
        <v>67</v>
      </c>
      <c r="B15" t="s">
        <v>63</v>
      </c>
      <c r="C15" t="s">
        <v>46</v>
      </c>
    </row>
    <row r="16" spans="1:3" x14ac:dyDescent="0.25">
      <c r="B16" t="s">
        <v>65</v>
      </c>
      <c r="C16" t="s">
        <v>68</v>
      </c>
    </row>
    <row r="17" spans="1:3" x14ac:dyDescent="0.25">
      <c r="A17" t="s">
        <v>69</v>
      </c>
      <c r="B17" t="s">
        <v>70</v>
      </c>
      <c r="C17" t="s">
        <v>71</v>
      </c>
    </row>
    <row r="18" spans="1:3" x14ac:dyDescent="0.25">
      <c r="B18" t="s">
        <v>65</v>
      </c>
      <c r="C18" t="s">
        <v>72</v>
      </c>
    </row>
    <row r="52" spans="1:3" x14ac:dyDescent="0.25">
      <c r="A52" t="s">
        <v>74</v>
      </c>
      <c r="B52">
        <v>15</v>
      </c>
      <c r="C52" t="s">
        <v>78</v>
      </c>
    </row>
    <row r="53" spans="1:3" x14ac:dyDescent="0.25">
      <c r="A53" t="s">
        <v>76</v>
      </c>
      <c r="B53">
        <f>POWER(B52,2)/10</f>
        <v>22.5</v>
      </c>
      <c r="C53" t="s">
        <v>77</v>
      </c>
    </row>
    <row r="54" spans="1:3" x14ac:dyDescent="0.25">
      <c r="A54" t="s">
        <v>79</v>
      </c>
      <c r="B54">
        <v>32</v>
      </c>
      <c r="C54" t="s">
        <v>80</v>
      </c>
    </row>
    <row r="55" spans="1:3" x14ac:dyDescent="0.25">
      <c r="A55" t="s">
        <v>75</v>
      </c>
      <c r="B55">
        <f>B54/(10*B52*(1+(50/B54)))</f>
        <v>8.3252032520325203E-2</v>
      </c>
      <c r="C55" t="s">
        <v>81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8FCB-9BFA-412E-B355-3A36A293F412}">
  <dimension ref="C7:E23"/>
  <sheetViews>
    <sheetView workbookViewId="0">
      <selection activeCell="C17" sqref="C17:E23"/>
    </sheetView>
  </sheetViews>
  <sheetFormatPr defaultRowHeight="15" x14ac:dyDescent="0.25"/>
  <cols>
    <col min="4" max="4" width="18.140625" customWidth="1"/>
    <col min="5" max="5" width="18.140625" bestFit="1" customWidth="1"/>
  </cols>
  <sheetData>
    <row r="7" spans="3:5" x14ac:dyDescent="0.25">
      <c r="C7" s="3" t="s">
        <v>84</v>
      </c>
      <c r="D7" s="3" t="s">
        <v>82</v>
      </c>
      <c r="E7" s="3" t="s">
        <v>83</v>
      </c>
    </row>
    <row r="8" spans="3:5" x14ac:dyDescent="0.25">
      <c r="C8" s="4">
        <v>24</v>
      </c>
      <c r="D8" s="4">
        <f>ROUND(C8*(1/11),2)</f>
        <v>2.1800000000000002</v>
      </c>
      <c r="E8" s="4">
        <v>2.21</v>
      </c>
    </row>
    <row r="9" spans="3:5" x14ac:dyDescent="0.25">
      <c r="C9" s="4">
        <v>28</v>
      </c>
      <c r="D9" s="4">
        <f t="shared" ref="D9:D10" si="0">ROUND(C9*(1/11),2)</f>
        <v>2.5499999999999998</v>
      </c>
      <c r="E9" s="4">
        <v>2.58</v>
      </c>
    </row>
    <row r="10" spans="3:5" x14ac:dyDescent="0.25">
      <c r="C10" s="4">
        <v>32</v>
      </c>
      <c r="D10" s="4">
        <f t="shared" si="0"/>
        <v>2.91</v>
      </c>
      <c r="E10" s="4">
        <v>2.91</v>
      </c>
    </row>
    <row r="16" spans="3:5" x14ac:dyDescent="0.25">
      <c r="C16" t="s">
        <v>86</v>
      </c>
      <c r="D16" t="s">
        <v>51</v>
      </c>
    </row>
    <row r="17" spans="3:5" x14ac:dyDescent="0.25">
      <c r="C17" s="3" t="s">
        <v>85</v>
      </c>
      <c r="D17" s="3" t="s">
        <v>82</v>
      </c>
      <c r="E17" s="3" t="s">
        <v>83</v>
      </c>
    </row>
    <row r="18" spans="3:5" x14ac:dyDescent="0.25">
      <c r="C18" s="4">
        <v>0</v>
      </c>
      <c r="D18" s="4">
        <v>1.65</v>
      </c>
      <c r="E18" s="4">
        <v>1.641</v>
      </c>
    </row>
    <row r="19" spans="3:5" x14ac:dyDescent="0.25">
      <c r="C19" s="4">
        <v>1</v>
      </c>
      <c r="D19" s="4">
        <f>1.65+(C19*0.066)</f>
        <v>1.716</v>
      </c>
      <c r="E19" s="4">
        <v>1.708</v>
      </c>
    </row>
    <row r="20" spans="3:5" x14ac:dyDescent="0.25">
      <c r="C20" s="4">
        <v>3</v>
      </c>
      <c r="D20" s="4">
        <f t="shared" ref="D20:D23" si="1">1.65+(C20*0.066)</f>
        <v>1.8479999999999999</v>
      </c>
      <c r="E20" s="4">
        <v>1.841</v>
      </c>
    </row>
    <row r="21" spans="3:5" x14ac:dyDescent="0.25">
      <c r="C21" s="4">
        <v>5</v>
      </c>
      <c r="D21" s="4">
        <f t="shared" si="1"/>
        <v>1.98</v>
      </c>
      <c r="E21" s="4">
        <v>1.972</v>
      </c>
    </row>
    <row r="22" spans="3:5" x14ac:dyDescent="0.25">
      <c r="C22" s="4">
        <v>10</v>
      </c>
      <c r="D22" s="4">
        <f t="shared" si="1"/>
        <v>2.31</v>
      </c>
      <c r="E22" s="4">
        <v>2.3039999999999998</v>
      </c>
    </row>
    <row r="23" spans="3:5" x14ac:dyDescent="0.25">
      <c r="C23" s="4">
        <v>15</v>
      </c>
      <c r="D23" s="4">
        <f t="shared" si="1"/>
        <v>2.6399999999999997</v>
      </c>
      <c r="E23" s="4">
        <v>2.6349999999999998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A8D2-E4BA-402C-9121-269622D90518}">
  <dimension ref="A1:G7"/>
  <sheetViews>
    <sheetView tabSelected="1" workbookViewId="0">
      <selection activeCell="D12" sqref="D12"/>
    </sheetView>
  </sheetViews>
  <sheetFormatPr defaultRowHeight="15" x14ac:dyDescent="0.25"/>
  <sheetData>
    <row r="1" spans="1:7" x14ac:dyDescent="0.25">
      <c r="E1" t="s">
        <v>94</v>
      </c>
      <c r="F1" t="s">
        <v>91</v>
      </c>
      <c r="G1" t="s">
        <v>92</v>
      </c>
    </row>
    <row r="2" spans="1:7" x14ac:dyDescent="0.25">
      <c r="A2" t="s">
        <v>87</v>
      </c>
    </row>
    <row r="4" spans="1:7" x14ac:dyDescent="0.25">
      <c r="A4" t="s">
        <v>88</v>
      </c>
      <c r="B4" t="s">
        <v>89</v>
      </c>
    </row>
    <row r="5" spans="1:7" x14ac:dyDescent="0.25">
      <c r="A5" t="s">
        <v>90</v>
      </c>
      <c r="B5" t="s">
        <v>89</v>
      </c>
    </row>
    <row r="6" spans="1:7" x14ac:dyDescent="0.25">
      <c r="A6" t="s">
        <v>93</v>
      </c>
      <c r="B6" t="s">
        <v>89</v>
      </c>
    </row>
    <row r="7" spans="1:7" x14ac:dyDescent="0.25">
      <c r="A7" t="s">
        <v>95</v>
      </c>
      <c r="B7" t="s">
        <v>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700147-afba-4891-810a-c484e8dc8ebf" xsi:nil="true"/>
    <lcf76f155ced4ddcb4097134ff3c332f xmlns="7cfb7178-de7e-41d1-b2fd-b4999c8a8b58">
      <Terms xmlns="http://schemas.microsoft.com/office/infopath/2007/PartnerControls"/>
    </lcf76f155ced4ddcb4097134ff3c332f>
    <Comments xmlns="7cfb7178-de7e-41d1-b2fd-b4999c8a8b58" xsi:nil="true"/>
    <_dlc_DocId xmlns="34700147-afba-4891-810a-c484e8dc8ebf">DZD65U25AH7W-1291113271-26295</_dlc_DocId>
    <_dlc_DocIdUrl xmlns="34700147-afba-4891-810a-c484e8dc8ebf">
      <Url>https://defsecintel.sharepoint.com/sites/Documentationsite/_layouts/15/DocIdRedir.aspx?ID=DZD65U25AH7W-1291113271-26295</Url>
      <Description>DZD65U25AH7W-1291113271-26295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CF161C0-619C-465D-AF17-00FEAC8AAF2F}"/>
</file>

<file path=customXml/itemProps2.xml><?xml version="1.0" encoding="utf-8"?>
<ds:datastoreItem xmlns:ds="http://schemas.openxmlformats.org/officeDocument/2006/customXml" ds:itemID="{C05F31B7-F127-4675-8698-10CC6274E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EC9CE2-3E8B-464D-8653-DCF2DAB04FD9}"/>
</file>

<file path=customXml/itemProps4.xml><?xml version="1.0" encoding="utf-8"?>
<ds:datastoreItem xmlns:ds="http://schemas.openxmlformats.org/officeDocument/2006/customXml" ds:itemID="{AA6A19A5-48D8-4536-BBB9-6DF0C5DA75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5V SMPS</vt:lpstr>
      <vt:lpstr>High current load</vt:lpstr>
      <vt:lpstr>Sheet1</vt:lpstr>
      <vt:lpstr>Replaced relay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Indrek Keskküla</cp:lastModifiedBy>
  <dcterms:created xsi:type="dcterms:W3CDTF">2015-06-05T18:17:20Z</dcterms:created>
  <dcterms:modified xsi:type="dcterms:W3CDTF">2024-09-12T11:38:51Z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0x01010016E3D5CB9E7E214A83619E317AE8A5AB</vt:lpwstr>
  </property>
  <property fmtid="{D5CDD505-2E9C-101B-9397-08002B2CF9AE}" pid="3" name="_dlc_DocIdItemGuid">
    <vt:lpwstr>89993558-3793-4405-81d6-0acad39a9268</vt:lpwstr>
  </property>
</Properties>
</file>